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showInkAnnotation="0" defaultThemeVersion="166925"/>
  <xr:revisionPtr revIDLastSave="0" documentId="13_ncr:1_{C5609247-7C69-488D-A6B1-0C202106524E}" xr6:coauthVersionLast="47" xr6:coauthVersionMax="47" xr10:uidLastSave="{00000000-0000-0000-0000-000000000000}"/>
  <bookViews>
    <workbookView xWindow="6030" yWindow="2440" windowWidth="17990" windowHeight="15580" activeTab="5" xr2:uid="{00000000-000D-0000-FFFF-FFFF00000000}"/>
  </bookViews>
  <sheets>
    <sheet name="Acquisitions" sheetId="18" r:id="rId1"/>
    <sheet name="People" sheetId="14" r:id="rId2"/>
    <sheet name="Glossary" sheetId="13" r:id="rId3"/>
    <sheet name="Revenue" sheetId="16" r:id="rId4"/>
    <sheet name="Historical" sheetId="12" r:id="rId5"/>
    <sheet name="Main-AI" sheetId="1" r:id="rId6"/>
    <sheet name="Enterprise-Cloud" sheetId="10" r:id="rId7"/>
    <sheet name="Social-Dating" sheetId="9" r:id="rId8"/>
    <sheet name="Simulation-Technical Design" sheetId="11" r:id="rId9"/>
    <sheet name="Media-Games-Design" sheetId="8" r:id="rId10"/>
    <sheet name="Fintech" sheetId="7" r:id="rId11"/>
    <sheet name="Healthcare" sheetId="19" r:id="rId12"/>
    <sheet name="Ecommerce" sheetId="5" r:id="rId13"/>
    <sheet name="Security" sheetId="4" r:id="rId14"/>
    <sheet name="FX" sheetId="3" r:id="rId15"/>
    <sheet name="Private" sheetId="2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CAD">FX!$C$7</definedName>
    <definedName name="EUR">FX!$C$4</definedName>
    <definedName name="HKD">FX!$C$2</definedName>
    <definedName name="JPY">FX!$C$6</definedName>
    <definedName name="RMB">FX!$C$3</definedName>
    <definedName name="SEK">FX!$C$5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9" l="1"/>
  <c r="F4" i="9"/>
  <c r="E4" i="9"/>
  <c r="AG7" i="1" l="1"/>
  <c r="AG3" i="1"/>
  <c r="AG5" i="1" l="1"/>
  <c r="AG6" i="1"/>
  <c r="F7" i="1"/>
  <c r="AB17" i="16" l="1"/>
  <c r="AA17" i="16"/>
  <c r="Z17" i="16" s="1"/>
  <c r="AC17" i="16"/>
  <c r="I16" i="16"/>
  <c r="H16" i="16" s="1"/>
  <c r="G16" i="16" s="1"/>
  <c r="F16" i="16" s="1"/>
  <c r="E16" i="16" s="1"/>
  <c r="D16" i="16" s="1"/>
  <c r="J16" i="16"/>
  <c r="D13" i="16"/>
  <c r="O12" i="16"/>
  <c r="S12" i="16"/>
  <c r="R12" i="16" s="1"/>
  <c r="Q12" i="16" s="1"/>
  <c r="P12" i="16" s="1"/>
  <c r="T12" i="16"/>
  <c r="I21" i="16"/>
  <c r="H21" i="16" s="1"/>
  <c r="G21" i="16" s="1"/>
  <c r="F21" i="16" s="1"/>
  <c r="E21" i="16" s="1"/>
  <c r="D21" i="16" s="1"/>
  <c r="J21" i="16"/>
  <c r="AT19" i="16"/>
  <c r="AS19" i="16"/>
  <c r="AR19" i="16"/>
  <c r="AQ19" i="16"/>
  <c r="AP19" i="16"/>
  <c r="AT18" i="16"/>
  <c r="AS18" i="16"/>
  <c r="AP216" i="16"/>
  <c r="AQ216" i="16" s="1"/>
  <c r="AR216" i="16" s="1"/>
  <c r="AS216" i="16" s="1"/>
  <c r="AT216" i="16" s="1"/>
  <c r="AP215" i="16"/>
  <c r="AQ215" i="16" s="1"/>
  <c r="AR215" i="16" s="1"/>
  <c r="AS215" i="16" s="1"/>
  <c r="AT215" i="16" s="1"/>
  <c r="AP214" i="16"/>
  <c r="AQ214" i="16" s="1"/>
  <c r="AR214" i="16" s="1"/>
  <c r="AS214" i="16" s="1"/>
  <c r="AT214" i="16" s="1"/>
  <c r="AP213" i="16"/>
  <c r="AQ213" i="16" s="1"/>
  <c r="AR213" i="16" s="1"/>
  <c r="AS213" i="16" s="1"/>
  <c r="AT213" i="16" s="1"/>
  <c r="AQ212" i="16"/>
  <c r="AR212" i="16" s="1"/>
  <c r="AS212" i="16" s="1"/>
  <c r="AT212" i="16" s="1"/>
  <c r="AP212" i="16"/>
  <c r="AO216" i="16"/>
  <c r="AO215" i="16"/>
  <c r="A20" i="16"/>
  <c r="A19" i="16"/>
  <c r="AP37" i="16"/>
  <c r="AQ37" i="16" s="1"/>
  <c r="AR37" i="16" s="1"/>
  <c r="AS37" i="16" s="1"/>
  <c r="AT37" i="16" s="1"/>
  <c r="R178" i="16"/>
  <c r="Q178" i="16" s="1"/>
  <c r="P178" i="16" s="1"/>
  <c r="O178" i="16" s="1"/>
  <c r="N178" i="16" s="1"/>
  <c r="AA183" i="16"/>
  <c r="AG181" i="16" l="1"/>
  <c r="AF181" i="16" s="1"/>
  <c r="AE181" i="16" s="1"/>
  <c r="K180" i="16"/>
  <c r="T4" i="16"/>
  <c r="S4" i="16"/>
  <c r="R4" i="16"/>
  <c r="Q4" i="16"/>
  <c r="P4" i="16"/>
  <c r="O4" i="16"/>
  <c r="L170" i="16"/>
  <c r="K170" i="16" s="1"/>
  <c r="J170" i="16" s="1"/>
  <c r="AN216" i="16"/>
  <c r="AM216" i="16"/>
  <c r="AL216" i="16"/>
  <c r="AK216" i="16"/>
  <c r="D177" i="16"/>
  <c r="G176" i="16"/>
  <c r="F176" i="16" s="1"/>
  <c r="E176" i="16" s="1"/>
  <c r="D176" i="16" s="1"/>
  <c r="E172" i="16"/>
  <c r="F172" i="16" s="1"/>
  <c r="G172" i="16" s="1"/>
  <c r="H172" i="16" s="1"/>
  <c r="I172" i="16" s="1"/>
  <c r="J172" i="16" s="1"/>
  <c r="H37" i="16"/>
  <c r="G37" i="16" s="1"/>
  <c r="J3" i="16"/>
  <c r="I3" i="16" s="1"/>
  <c r="H3" i="16" s="1"/>
  <c r="G3" i="16" s="1"/>
  <c r="F3" i="16" s="1"/>
  <c r="E3" i="16" s="1"/>
  <c r="D3" i="16" s="1"/>
  <c r="AK9" i="16"/>
  <c r="F37" i="16" l="1"/>
  <c r="I170" i="16"/>
  <c r="H170" i="16" s="1"/>
  <c r="G170" i="16" s="1"/>
  <c r="F170" i="16" s="1"/>
  <c r="E170" i="16" s="1"/>
  <c r="D170" i="16" s="1"/>
  <c r="J180" i="16"/>
  <c r="I180" i="16" s="1"/>
  <c r="AD181" i="16"/>
  <c r="H4" i="16"/>
  <c r="I4" i="16"/>
  <c r="E37" i="16"/>
  <c r="E4" i="16" s="1"/>
  <c r="AP49" i="16"/>
  <c r="AQ49" i="16" s="1"/>
  <c r="AR49" i="16" s="1"/>
  <c r="AS49" i="16" s="1"/>
  <c r="AT49" i="16" s="1"/>
  <c r="AQ54" i="16"/>
  <c r="AR54" i="16" s="1"/>
  <c r="AS54" i="16" s="1"/>
  <c r="AT54" i="16" s="1"/>
  <c r="AP48" i="16"/>
  <c r="AQ48" i="16" s="1"/>
  <c r="AR48" i="16" s="1"/>
  <c r="AS48" i="16" s="1"/>
  <c r="AT48" i="16" s="1"/>
  <c r="AP15" i="16"/>
  <c r="AQ15" i="16" s="1"/>
  <c r="AR15" i="16" s="1"/>
  <c r="AS15" i="16" s="1"/>
  <c r="AT15" i="16" s="1"/>
  <c r="L3" i="16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L33" i="16"/>
  <c r="M33" i="16" s="1"/>
  <c r="L172" i="16"/>
  <c r="M172" i="16" s="1"/>
  <c r="L14" i="16"/>
  <c r="L4" i="16" s="1"/>
  <c r="AP36" i="16"/>
  <c r="AQ36" i="16" s="1"/>
  <c r="AR36" i="16" s="1"/>
  <c r="AS36" i="16" s="1"/>
  <c r="AT36" i="16" s="1"/>
  <c r="AP35" i="16"/>
  <c r="AQ35" i="16" s="1"/>
  <c r="AR35" i="16" s="1"/>
  <c r="AS35" i="16" s="1"/>
  <c r="AT35" i="16" s="1"/>
  <c r="U21" i="16"/>
  <c r="V21" i="16" s="1"/>
  <c r="W21" i="16" s="1"/>
  <c r="X21" i="16" s="1"/>
  <c r="Y21" i="16" s="1"/>
  <c r="Z21" i="16" s="1"/>
  <c r="AA21" i="16" s="1"/>
  <c r="T2" i="16"/>
  <c r="S2" i="16" s="1"/>
  <c r="R2" i="16" s="1"/>
  <c r="Q2" i="16" s="1"/>
  <c r="P2" i="16" s="1"/>
  <c r="O2" i="16" s="1"/>
  <c r="N2" i="16" s="1"/>
  <c r="M2" i="16" s="1"/>
  <c r="L2" i="16" s="1"/>
  <c r="K2" i="16" s="1"/>
  <c r="J2" i="16" s="1"/>
  <c r="I2" i="16" s="1"/>
  <c r="H2" i="16" s="1"/>
  <c r="G2" i="16" s="1"/>
  <c r="F2" i="16" s="1"/>
  <c r="AP12" i="16"/>
  <c r="AQ12" i="16" s="1"/>
  <c r="AR12" i="16" s="1"/>
  <c r="AS12" i="16" s="1"/>
  <c r="AT12" i="16" s="1"/>
  <c r="AL11" i="16"/>
  <c r="AM11" i="16"/>
  <c r="AN11" i="16"/>
  <c r="AO11" i="16" s="1"/>
  <c r="AP11" i="16" s="1"/>
  <c r="AQ11" i="16" s="1"/>
  <c r="AR11" i="16" s="1"/>
  <c r="AS11" i="16" s="1"/>
  <c r="AT11" i="16" s="1"/>
  <c r="AI10" i="16"/>
  <c r="AI4" i="16" s="1"/>
  <c r="AJ10" i="16"/>
  <c r="AJ4" i="16" s="1"/>
  <c r="AK10" i="16"/>
  <c r="AK4" i="16" s="1"/>
  <c r="AL9" i="16"/>
  <c r="AL10" i="16"/>
  <c r="AM10" i="16"/>
  <c r="AP32" i="16"/>
  <c r="AQ32" i="16" s="1"/>
  <c r="AR32" i="16" s="1"/>
  <c r="AS32" i="16" s="1"/>
  <c r="AT32" i="16" s="1"/>
  <c r="AP29" i="16"/>
  <c r="AQ29" i="16" s="1"/>
  <c r="AR29" i="16" s="1"/>
  <c r="AS29" i="16" s="1"/>
  <c r="AT29" i="16" s="1"/>
  <c r="AP28" i="16"/>
  <c r="AQ28" i="16" s="1"/>
  <c r="AR28" i="16" s="1"/>
  <c r="AS28" i="16" s="1"/>
  <c r="AT28" i="16" s="1"/>
  <c r="AP27" i="16"/>
  <c r="AQ27" i="16" s="1"/>
  <c r="AR27" i="16" s="1"/>
  <c r="AS27" i="16" s="1"/>
  <c r="AT27" i="16" s="1"/>
  <c r="AP26" i="16"/>
  <c r="AQ26" i="16" s="1"/>
  <c r="AR26" i="16" s="1"/>
  <c r="AS26" i="16" s="1"/>
  <c r="AT26" i="16" s="1"/>
  <c r="AP25" i="16"/>
  <c r="AQ25" i="16" s="1"/>
  <c r="AR25" i="16" s="1"/>
  <c r="AS25" i="16" s="1"/>
  <c r="AT25" i="16" s="1"/>
  <c r="AP24" i="16"/>
  <c r="AQ24" i="16" s="1"/>
  <c r="AR24" i="16" s="1"/>
  <c r="AS24" i="16" s="1"/>
  <c r="AT24" i="16" s="1"/>
  <c r="AP23" i="16"/>
  <c r="AQ23" i="16" s="1"/>
  <c r="AR23" i="16" s="1"/>
  <c r="AS23" i="16" s="1"/>
  <c r="AT23" i="16" s="1"/>
  <c r="AP22" i="16"/>
  <c r="AQ22" i="16" s="1"/>
  <c r="AR22" i="16" s="1"/>
  <c r="AS22" i="16" s="1"/>
  <c r="AT22" i="16" s="1"/>
  <c r="AP20" i="16"/>
  <c r="AQ20" i="16" s="1"/>
  <c r="AR20" i="16" s="1"/>
  <c r="AS20" i="16" s="1"/>
  <c r="AT20" i="16" s="1"/>
  <c r="AP16" i="16"/>
  <c r="AQ16" i="16" s="1"/>
  <c r="AR16" i="16" s="1"/>
  <c r="AS16" i="16" s="1"/>
  <c r="AT16" i="16" s="1"/>
  <c r="AM9" i="16"/>
  <c r="AN9" i="16"/>
  <c r="AO10" i="16"/>
  <c r="AN10" i="16"/>
  <c r="V16" i="16"/>
  <c r="W16" i="16" s="1"/>
  <c r="X16" i="16" s="1"/>
  <c r="AG212" i="16"/>
  <c r="AF212" i="16" s="1"/>
  <c r="AB214" i="16"/>
  <c r="AA214" i="16" s="1"/>
  <c r="Z214" i="16" s="1"/>
  <c r="Y214" i="16" s="1"/>
  <c r="X214" i="16" s="1"/>
  <c r="W214" i="16" s="1"/>
  <c r="V214" i="16" s="1"/>
  <c r="AO214" i="16"/>
  <c r="A10" i="16"/>
  <c r="A11" i="16" s="1"/>
  <c r="AC26" i="16"/>
  <c r="AD26" i="16" s="1"/>
  <c r="AE26" i="16" s="1"/>
  <c r="AF26" i="16" s="1"/>
  <c r="AG26" i="16" s="1"/>
  <c r="AH26" i="16" s="1"/>
  <c r="AI26" i="16" s="1"/>
  <c r="AJ26" i="16" s="1"/>
  <c r="AN17" i="16"/>
  <c r="AO17" i="16" s="1"/>
  <c r="AP17" i="16" s="1"/>
  <c r="AQ17" i="16" s="1"/>
  <c r="AR17" i="16" s="1"/>
  <c r="AS17" i="16" s="1"/>
  <c r="AT17" i="16" s="1"/>
  <c r="AC21" i="16"/>
  <c r="AD21" i="16" s="1"/>
  <c r="AE21" i="16" s="1"/>
  <c r="AF21" i="16" s="1"/>
  <c r="AG21" i="16" s="1"/>
  <c r="AI21" i="16"/>
  <c r="AJ21" i="16" s="1"/>
  <c r="AK21" i="16" s="1"/>
  <c r="AL21" i="16" s="1"/>
  <c r="AM21" i="16" s="1"/>
  <c r="AN21" i="16" s="1"/>
  <c r="AO21" i="16" s="1"/>
  <c r="AP21" i="16" s="1"/>
  <c r="AQ21" i="16" s="1"/>
  <c r="AR21" i="16" s="1"/>
  <c r="AS21" i="16" s="1"/>
  <c r="AT21" i="16" s="1"/>
  <c r="AO30" i="16"/>
  <c r="AP30" i="16" s="1"/>
  <c r="AQ30" i="16" s="1"/>
  <c r="AR30" i="16" s="1"/>
  <c r="AS30" i="16" s="1"/>
  <c r="AT30" i="16" s="1"/>
  <c r="AA14" i="16"/>
  <c r="AB14" i="16" s="1"/>
  <c r="Y14" i="16"/>
  <c r="V14" i="16"/>
  <c r="W14" i="16" s="1"/>
  <c r="AO14" i="16"/>
  <c r="AP14" i="16" s="1"/>
  <c r="AQ14" i="16" s="1"/>
  <c r="AR14" i="16" s="1"/>
  <c r="AS14" i="16" s="1"/>
  <c r="AT14" i="16" s="1"/>
  <c r="U13" i="16"/>
  <c r="V13" i="16"/>
  <c r="W13" i="16"/>
  <c r="X13" i="16"/>
  <c r="Y13" i="16"/>
  <c r="Z13" i="16"/>
  <c r="AA13" i="16"/>
  <c r="AB13" i="16"/>
  <c r="AC13" i="16"/>
  <c r="AD13" i="16"/>
  <c r="AE13" i="16"/>
  <c r="AE4" i="16" s="1"/>
  <c r="AF13" i="16"/>
  <c r="AG13" i="16"/>
  <c r="AH13" i="16"/>
  <c r="AI13" i="16"/>
  <c r="AJ13" i="16"/>
  <c r="AN13" i="16"/>
  <c r="AM13" i="16"/>
  <c r="AL13" i="16"/>
  <c r="AN2" i="16"/>
  <c r="AO2" i="16" s="1"/>
  <c r="AP2" i="16" s="1"/>
  <c r="AQ2" i="16" s="1"/>
  <c r="AR2" i="16" s="1"/>
  <c r="AS2" i="16" s="1"/>
  <c r="AT2" i="16" s="1"/>
  <c r="K5" i="1"/>
  <c r="L5" i="1" s="1"/>
  <c r="AQ18" i="16" l="1"/>
  <c r="AP4" i="16"/>
  <c r="AM4" i="16"/>
  <c r="Y4" i="16"/>
  <c r="Y7" i="16" s="1"/>
  <c r="M4" i="16"/>
  <c r="AF4" i="16"/>
  <c r="AA4" i="16"/>
  <c r="AA7" i="16" s="1"/>
  <c r="W4" i="16"/>
  <c r="W7" i="16" s="1"/>
  <c r="J4" i="16"/>
  <c r="AO9" i="16"/>
  <c r="AN4" i="16"/>
  <c r="AH4" i="16"/>
  <c r="AG4" i="16"/>
  <c r="U4" i="16"/>
  <c r="G4" i="16"/>
  <c r="Z4" i="16"/>
  <c r="Z7" i="16" s="1"/>
  <c r="X4" i="16"/>
  <c r="X7" i="16" s="1"/>
  <c r="V4" i="16"/>
  <c r="V7" i="16" s="1"/>
  <c r="AL4" i="16"/>
  <c r="F4" i="16"/>
  <c r="F7" i="16" s="1"/>
  <c r="AC181" i="16"/>
  <c r="AD4" i="16"/>
  <c r="G7" i="16"/>
  <c r="D37" i="16"/>
  <c r="D4" i="16" s="1"/>
  <c r="AD3" i="16"/>
  <c r="AE3" i="16" s="1"/>
  <c r="AF3" i="16" s="1"/>
  <c r="AG3" i="16" s="1"/>
  <c r="AH3" i="16" s="1"/>
  <c r="AI3" i="16" s="1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U5" i="16"/>
  <c r="O7" i="16"/>
  <c r="L7" i="16"/>
  <c r="M7" i="16"/>
  <c r="N33" i="16"/>
  <c r="N4" i="16" s="1"/>
  <c r="T7" i="16"/>
  <c r="S7" i="16"/>
  <c r="AP10" i="16"/>
  <c r="AQ10" i="16" s="1"/>
  <c r="AR10" i="16" s="1"/>
  <c r="AS10" i="16" s="1"/>
  <c r="AT10" i="16" s="1"/>
  <c r="P7" i="16"/>
  <c r="Q7" i="16"/>
  <c r="R7" i="16"/>
  <c r="P5" i="16"/>
  <c r="K14" i="16"/>
  <c r="K4" i="16" s="1"/>
  <c r="T5" i="16"/>
  <c r="Q5" i="16"/>
  <c r="R5" i="16"/>
  <c r="S5" i="16"/>
  <c r="A212" i="16"/>
  <c r="A213" i="16" s="1"/>
  <c r="A214" i="16" s="1"/>
  <c r="A12" i="16" s="1"/>
  <c r="A13" i="16" s="1"/>
  <c r="A14" i="16" s="1"/>
  <c r="A15" i="16" s="1"/>
  <c r="A16" i="16" s="1"/>
  <c r="A17" i="16" s="1"/>
  <c r="A18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O13" i="16"/>
  <c r="F11" i="9"/>
  <c r="H11" i="9"/>
  <c r="E11" i="9" s="1"/>
  <c r="G5" i="16" l="1"/>
  <c r="AP9" i="16"/>
  <c r="AO4" i="16"/>
  <c r="AO7" i="16" s="1"/>
  <c r="AB181" i="16"/>
  <c r="AB4" i="16" s="1"/>
  <c r="AB7" i="16" s="1"/>
  <c r="AC4" i="16"/>
  <c r="AC7" i="16" s="1"/>
  <c r="H7" i="16"/>
  <c r="H5" i="16"/>
  <c r="E7" i="16"/>
  <c r="E5" i="16"/>
  <c r="F5" i="16"/>
  <c r="AD7" i="16"/>
  <c r="U7" i="16"/>
  <c r="AE7" i="16"/>
  <c r="AF7" i="16"/>
  <c r="AJ7" i="16"/>
  <c r="AH7" i="16"/>
  <c r="AI7" i="16"/>
  <c r="AG7" i="16"/>
  <c r="AK7" i="16"/>
  <c r="AN7" i="16"/>
  <c r="N7" i="16"/>
  <c r="AM7" i="16"/>
  <c r="AL7" i="16"/>
  <c r="G11" i="9"/>
  <c r="M5" i="16"/>
  <c r="AP13" i="16"/>
  <c r="A33" i="16"/>
  <c r="A34" i="16" s="1"/>
  <c r="A35" i="16" s="1"/>
  <c r="A36" i="16" s="1"/>
  <c r="A37" i="16" s="1"/>
  <c r="A38" i="16" s="1"/>
  <c r="AN5" i="16"/>
  <c r="G11" i="8"/>
  <c r="G10" i="8"/>
  <c r="AO5" i="16" l="1"/>
  <c r="AQ9" i="16"/>
  <c r="I7" i="16"/>
  <c r="I5" i="16"/>
  <c r="J5" i="16"/>
  <c r="J7" i="16"/>
  <c r="A39" i="16"/>
  <c r="A40" i="16" s="1"/>
  <c r="A41" i="16" s="1"/>
  <c r="K7" i="16"/>
  <c r="K5" i="16"/>
  <c r="N5" i="16"/>
  <c r="O5" i="16"/>
  <c r="L5" i="16"/>
  <c r="AQ13" i="16"/>
  <c r="Y5" i="16"/>
  <c r="V5" i="16"/>
  <c r="H4" i="5"/>
  <c r="E4" i="5" s="1"/>
  <c r="AQ4" i="16" l="1"/>
  <c r="AR9" i="16"/>
  <c r="AP5" i="16"/>
  <c r="AP7" i="16"/>
  <c r="AR13" i="16"/>
  <c r="W5" i="16"/>
  <c r="X5" i="16"/>
  <c r="H3" i="7"/>
  <c r="E3" i="7" s="1"/>
  <c r="AR4" i="16" l="1"/>
  <c r="AS9" i="16"/>
  <c r="A42" i="16"/>
  <c r="A43" i="16" s="1"/>
  <c r="AQ5" i="16"/>
  <c r="AQ7" i="16"/>
  <c r="AS13" i="16"/>
  <c r="E13" i="7"/>
  <c r="G13" i="7" s="1"/>
  <c r="T13" i="7" s="1"/>
  <c r="F4" i="7"/>
  <c r="G4" i="7" s="1"/>
  <c r="H4" i="7"/>
  <c r="E7" i="7"/>
  <c r="G7" i="7" s="1"/>
  <c r="T7" i="7" s="1"/>
  <c r="E12" i="7"/>
  <c r="G12" i="7" s="1"/>
  <c r="T12" i="7" s="1"/>
  <c r="E11" i="7"/>
  <c r="G11" i="7" s="1"/>
  <c r="T11" i="7" s="1"/>
  <c r="E8" i="7"/>
  <c r="G8" i="7" s="1"/>
  <c r="S8" i="7" s="1"/>
  <c r="E9" i="7"/>
  <c r="G9" i="7" s="1"/>
  <c r="T9" i="7" s="1"/>
  <c r="AS4" i="16" l="1"/>
  <c r="AT9" i="16"/>
  <c r="A44" i="16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R5" i="16"/>
  <c r="AR7" i="16"/>
  <c r="AT13" i="16"/>
  <c r="T4" i="7"/>
  <c r="S4" i="7"/>
  <c r="T8" i="7"/>
  <c r="S7" i="7"/>
  <c r="S9" i="7"/>
  <c r="S11" i="7"/>
  <c r="S12" i="7"/>
  <c r="S13" i="7"/>
  <c r="G10" i="4"/>
  <c r="G5" i="4"/>
  <c r="AD5" i="4" s="1"/>
  <c r="G7" i="4"/>
  <c r="AD7" i="4" s="1"/>
  <c r="G4" i="4"/>
  <c r="AD4" i="4" s="1"/>
  <c r="F6" i="4"/>
  <c r="H6" i="4"/>
  <c r="E6" i="4" s="1"/>
  <c r="F16" i="4"/>
  <c r="H16" i="4"/>
  <c r="E16" i="4" s="1"/>
  <c r="AT4" i="16" l="1"/>
  <c r="AT7" i="16" s="1"/>
  <c r="A57" i="16"/>
  <c r="AS5" i="16"/>
  <c r="AS7" i="16"/>
  <c r="G16" i="4"/>
  <c r="G6" i="4"/>
  <c r="AB7" i="4"/>
  <c r="AC7" i="4"/>
  <c r="AB4" i="4"/>
  <c r="AC4" i="4"/>
  <c r="AB5" i="4"/>
  <c r="AC5" i="4"/>
  <c r="AC6" i="4"/>
  <c r="AB6" i="4"/>
  <c r="AD6" i="4"/>
  <c r="AD16" i="4"/>
  <c r="A58" i="16" l="1"/>
  <c r="A59" i="16" s="1"/>
  <c r="AT5" i="16"/>
  <c r="AB16" i="4"/>
  <c r="AC16" i="4"/>
  <c r="F16" i="8"/>
  <c r="H16" i="8"/>
  <c r="E16" i="8" s="1"/>
  <c r="A60" i="16" l="1"/>
  <c r="G16" i="8"/>
  <c r="E10" i="1"/>
  <c r="E9" i="1"/>
  <c r="F11" i="4"/>
  <c r="H11" i="4"/>
  <c r="E11" i="4" s="1"/>
  <c r="F19" i="10"/>
  <c r="A61" i="16" l="1"/>
  <c r="A62" i="16" s="1"/>
  <c r="G11" i="4"/>
  <c r="H19" i="10"/>
  <c r="E19" i="10" s="1"/>
  <c r="G19" i="10" s="1"/>
  <c r="A63" i="16" l="1"/>
  <c r="AD11" i="4"/>
  <c r="AC11" i="4"/>
  <c r="AB11" i="4"/>
  <c r="F48" i="10"/>
  <c r="H48" i="10"/>
  <c r="E48" i="10" s="1"/>
  <c r="A64" i="16" l="1"/>
  <c r="A65" i="16" s="1"/>
  <c r="G48" i="10"/>
  <c r="A66" i="16" l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F14" i="5"/>
  <c r="H14" i="5"/>
  <c r="E14" i="5" s="1"/>
  <c r="A103" i="16" l="1"/>
  <c r="G14" i="5"/>
  <c r="F9" i="4"/>
  <c r="H9" i="4"/>
  <c r="E9" i="4" s="1"/>
  <c r="A104" i="16" l="1"/>
  <c r="G9" i="4"/>
  <c r="H8" i="10"/>
  <c r="E8" i="10" s="1"/>
  <c r="A105" i="16" l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D9" i="4"/>
  <c r="AC9" i="4"/>
  <c r="AB9" i="4"/>
  <c r="F12" i="1"/>
  <c r="G12" i="1" s="1"/>
  <c r="H12" i="1"/>
  <c r="F6" i="7"/>
  <c r="H6" i="7"/>
  <c r="E6" i="7" s="1"/>
  <c r="AD13" i="1"/>
  <c r="AD12" i="1"/>
  <c r="AD11" i="1"/>
  <c r="AD5" i="1"/>
  <c r="AD6" i="1"/>
  <c r="AD7" i="1"/>
  <c r="H7" i="10"/>
  <c r="E7" i="10" s="1"/>
  <c r="A119" i="16" l="1"/>
  <c r="G6" i="7"/>
  <c r="F5" i="5"/>
  <c r="H5" i="5"/>
  <c r="E5" i="5" s="1"/>
  <c r="H79" i="10"/>
  <c r="E79" i="10" s="1"/>
  <c r="G79" i="10" s="1"/>
  <c r="A120" i="16" l="1"/>
  <c r="T6" i="7"/>
  <c r="S6" i="7"/>
  <c r="G5" i="5"/>
  <c r="F71" i="10"/>
  <c r="A121" i="16" l="1"/>
  <c r="H7" i="1"/>
  <c r="E7" i="1" s="1"/>
  <c r="A122" i="16" l="1"/>
  <c r="A123" i="16" s="1"/>
  <c r="A124" i="16" s="1"/>
  <c r="A125" i="16" s="1"/>
  <c r="A126" i="16" s="1"/>
  <c r="A127" i="16" s="1"/>
  <c r="A128" i="16" s="1"/>
  <c r="A129" i="16" s="1"/>
  <c r="G7" i="1"/>
  <c r="F29" i="8"/>
  <c r="H29" i="8"/>
  <c r="E29" i="8" s="1"/>
  <c r="G29" i="8" l="1"/>
  <c r="H13" i="9"/>
  <c r="E13" i="9" s="1"/>
  <c r="F13" i="9"/>
  <c r="A130" i="16" l="1"/>
  <c r="A131" i="16" s="1"/>
  <c r="G13" i="9"/>
  <c r="F14" i="8"/>
  <c r="H14" i="8"/>
  <c r="E14" i="8" s="1"/>
  <c r="A132" i="16" l="1"/>
  <c r="G14" i="8"/>
  <c r="F17" i="10"/>
  <c r="H17" i="10"/>
  <c r="E17" i="10" s="1"/>
  <c r="A133" i="16" l="1"/>
  <c r="G17" i="10"/>
  <c r="F37" i="5"/>
  <c r="H37" i="5"/>
  <c r="E37" i="5" s="1"/>
  <c r="A134" i="16" l="1"/>
  <c r="G37" i="5"/>
  <c r="F23" i="10"/>
  <c r="H23" i="10"/>
  <c r="E23" i="10" s="1"/>
  <c r="A135" i="16" l="1"/>
  <c r="G23" i="10"/>
  <c r="F3" i="7"/>
  <c r="G3" i="7" s="1"/>
  <c r="A136" i="16" l="1"/>
  <c r="S3" i="7"/>
  <c r="T3" i="7"/>
  <c r="F17" i="9"/>
  <c r="H17" i="9"/>
  <c r="E17" i="9" s="1"/>
  <c r="A137" i="16" l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G17" i="9"/>
  <c r="H71" i="10"/>
  <c r="E71" i="10" s="1"/>
  <c r="G71" i="10" s="1"/>
  <c r="A155" i="16" l="1"/>
  <c r="A156" i="16" s="1"/>
  <c r="A157" i="16" s="1"/>
  <c r="F11" i="18"/>
  <c r="H11" i="18"/>
  <c r="E11" i="18" s="1"/>
  <c r="G11" i="18" l="1"/>
  <c r="F47" i="10"/>
  <c r="H47" i="10"/>
  <c r="E47" i="10" s="1"/>
  <c r="A158" i="16" l="1"/>
  <c r="G47" i="10"/>
  <c r="A159" i="16" l="1"/>
  <c r="A160" i="16" s="1"/>
  <c r="E13" i="1"/>
  <c r="A161" i="16" l="1"/>
  <c r="A162" i="16" s="1"/>
  <c r="H11" i="10"/>
  <c r="A163" i="16" l="1"/>
  <c r="A164" i="16" s="1"/>
  <c r="A165" i="16" s="1"/>
  <c r="F8" i="4"/>
  <c r="H8" i="4"/>
  <c r="E8" i="4" s="1"/>
  <c r="F45" i="10"/>
  <c r="H45" i="10"/>
  <c r="E45" i="10" s="1"/>
  <c r="A166" i="16" l="1"/>
  <c r="G8" i="4"/>
  <c r="G45" i="10"/>
  <c r="A167" i="16" l="1"/>
  <c r="AD8" i="4"/>
  <c r="AD3" i="4" s="1"/>
  <c r="AC8" i="4"/>
  <c r="AC3" i="4" s="1"/>
  <c r="AB8" i="4"/>
  <c r="AB3" i="4" s="1"/>
  <c r="F46" i="10"/>
  <c r="H46" i="10"/>
  <c r="E46" i="10" s="1"/>
  <c r="A168" i="16" l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G46" i="10"/>
  <c r="A179" i="16" l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H7" i="5"/>
  <c r="E7" i="5" s="1"/>
  <c r="H6" i="5"/>
  <c r="E6" i="5" s="1"/>
  <c r="A202" i="16" l="1"/>
  <c r="A203" i="16" s="1"/>
  <c r="A204" i="16" s="1"/>
  <c r="A205" i="16" s="1"/>
  <c r="A206" i="16" s="1"/>
  <c r="F14" i="7"/>
  <c r="H14" i="7"/>
  <c r="E14" i="7" s="1"/>
  <c r="G14" i="7" l="1"/>
  <c r="F35" i="5"/>
  <c r="H35" i="5"/>
  <c r="E35" i="5" s="1"/>
  <c r="T14" i="7" l="1"/>
  <c r="S14" i="7"/>
  <c r="G35" i="5"/>
  <c r="F18" i="10" l="1"/>
  <c r="H18" i="10"/>
  <c r="E18" i="10" s="1"/>
  <c r="G18" i="10" l="1"/>
  <c r="F21" i="10"/>
  <c r="H21" i="10"/>
  <c r="E21" i="10" s="1"/>
  <c r="G21" i="10" l="1"/>
  <c r="F16" i="9" l="1"/>
  <c r="H16" i="9"/>
  <c r="E16" i="9" s="1"/>
  <c r="O5" i="8"/>
  <c r="N5" i="8"/>
  <c r="G16" i="9" l="1"/>
  <c r="M3" i="8"/>
  <c r="M5" i="8" l="1"/>
  <c r="F34" i="1" l="1"/>
  <c r="H34" i="1"/>
  <c r="E34" i="1" s="1"/>
  <c r="F49" i="10"/>
  <c r="H49" i="10"/>
  <c r="E49" i="10" s="1"/>
  <c r="H5" i="1"/>
  <c r="F5" i="1"/>
  <c r="G49" i="10" l="1"/>
  <c r="G34" i="1"/>
  <c r="F7" i="10" l="1"/>
  <c r="E17" i="1" l="1"/>
  <c r="F8" i="11"/>
  <c r="H8" i="11"/>
  <c r="E8" i="11" s="1"/>
  <c r="F9" i="10"/>
  <c r="H9" i="10"/>
  <c r="E9" i="10" s="1"/>
  <c r="G8" i="11" l="1"/>
  <c r="G9" i="10"/>
  <c r="G7" i="10"/>
  <c r="G8" i="8"/>
  <c r="G34" i="8"/>
  <c r="Z34" i="8" s="1"/>
  <c r="F10" i="7" l="1"/>
  <c r="H10" i="7"/>
  <c r="E10" i="7" s="1"/>
  <c r="G10" i="7" l="1"/>
  <c r="Z5" i="16"/>
  <c r="AC5" i="16" l="1"/>
  <c r="AB5" i="16"/>
  <c r="AE5" i="16"/>
  <c r="AH5" i="16"/>
  <c r="AK5" i="16"/>
  <c r="AD5" i="16"/>
  <c r="AA5" i="16"/>
  <c r="AJ5" i="16"/>
  <c r="AI5" i="16"/>
  <c r="AG5" i="16"/>
  <c r="AF5" i="16"/>
  <c r="T10" i="7"/>
  <c r="S10" i="7"/>
  <c r="F11" i="1"/>
  <c r="W5" i="1" l="1"/>
  <c r="V5" i="1"/>
  <c r="O5" i="1"/>
  <c r="N5" i="1"/>
  <c r="M5" i="1"/>
  <c r="AL5" i="16" l="1"/>
  <c r="AM5" i="16"/>
  <c r="AA2" i="16"/>
  <c r="AB2" i="16" s="1"/>
  <c r="AC2" i="16" s="1"/>
  <c r="AD2" i="16" l="1"/>
  <c r="AE2" i="16" s="1"/>
  <c r="AF2" i="16" s="1"/>
  <c r="AG2" i="16" s="1"/>
  <c r="AH2" i="16" s="1"/>
  <c r="AI2" i="16" s="1"/>
  <c r="AJ2" i="16" s="1"/>
  <c r="AK2" i="16" s="1"/>
  <c r="AL2" i="16" s="1"/>
  <c r="F6" i="1"/>
  <c r="F13" i="10" l="1"/>
  <c r="F7" i="8" l="1"/>
  <c r="F6" i="8"/>
  <c r="H7" i="8"/>
  <c r="E7" i="8" s="1"/>
  <c r="H6" i="8"/>
  <c r="E6" i="8" s="1"/>
  <c r="G6" i="8" l="1"/>
  <c r="G7" i="8"/>
  <c r="H13" i="8"/>
  <c r="E13" i="8" s="1"/>
  <c r="F13" i="8"/>
  <c r="F11" i="5"/>
  <c r="H11" i="5"/>
  <c r="E11" i="5" s="1"/>
  <c r="G11" i="5" l="1"/>
  <c r="H3" i="5"/>
  <c r="E3" i="5" s="1"/>
  <c r="F34" i="5" l="1"/>
  <c r="H34" i="5"/>
  <c r="E34" i="5" s="1"/>
  <c r="G34" i="5" l="1"/>
  <c r="F8" i="9"/>
  <c r="H8" i="9"/>
  <c r="E8" i="9" s="1"/>
  <c r="G8" i="9" l="1"/>
  <c r="AE8" i="9" s="1"/>
  <c r="H10" i="10"/>
  <c r="N10" i="10"/>
  <c r="M10" i="10"/>
  <c r="K10" i="10"/>
  <c r="L10" i="10" s="1"/>
  <c r="G7" i="9" l="1"/>
  <c r="H6" i="10"/>
  <c r="E3" i="9" l="1"/>
  <c r="F3" i="9"/>
  <c r="F5" i="7" l="1"/>
  <c r="H5" i="7"/>
  <c r="E5" i="7" s="1"/>
  <c r="W5" i="10"/>
  <c r="V5" i="10"/>
  <c r="U5" i="10"/>
  <c r="T5" i="10"/>
  <c r="O5" i="10"/>
  <c r="N5" i="10"/>
  <c r="M5" i="10"/>
  <c r="K5" i="10"/>
  <c r="L5" i="10" s="1"/>
  <c r="H5" i="10"/>
  <c r="F5" i="10"/>
  <c r="E5" i="10"/>
  <c r="F28" i="8"/>
  <c r="E28" i="8"/>
  <c r="G5" i="10" l="1"/>
  <c r="S5" i="10" s="1"/>
  <c r="G5" i="7"/>
  <c r="G28" i="8"/>
  <c r="T5" i="7" l="1"/>
  <c r="S5" i="7"/>
  <c r="Q5" i="10"/>
  <c r="P5" i="10"/>
  <c r="R5" i="10"/>
  <c r="H7" i="11"/>
  <c r="E7" i="11" s="1"/>
  <c r="F7" i="11"/>
  <c r="H6" i="11"/>
  <c r="E6" i="11" s="1"/>
  <c r="F6" i="11"/>
  <c r="H5" i="11"/>
  <c r="E5" i="11" s="1"/>
  <c r="F5" i="11"/>
  <c r="F4" i="11"/>
  <c r="E4" i="11"/>
  <c r="H3" i="11"/>
  <c r="E3" i="11" s="1"/>
  <c r="F3" i="11"/>
  <c r="H5" i="8"/>
  <c r="G7" i="11" l="1"/>
  <c r="G3" i="11"/>
  <c r="G5" i="11"/>
  <c r="G6" i="11"/>
  <c r="G4" i="11"/>
  <c r="F16" i="10"/>
  <c r="H16" i="10"/>
  <c r="E16" i="10" s="1"/>
  <c r="G16" i="10" l="1"/>
  <c r="F15" i="10"/>
  <c r="H15" i="10"/>
  <c r="E15" i="10" s="1"/>
  <c r="F20" i="10"/>
  <c r="H20" i="10"/>
  <c r="E20" i="10" s="1"/>
  <c r="G20" i="10" l="1"/>
  <c r="G15" i="10"/>
  <c r="H12" i="10"/>
  <c r="F12" i="10"/>
  <c r="E12" i="10"/>
  <c r="H13" i="10"/>
  <c r="E13" i="10" s="1"/>
  <c r="H14" i="10"/>
  <c r="F14" i="10"/>
  <c r="E14" i="10"/>
  <c r="G12" i="10" l="1"/>
  <c r="G14" i="10"/>
  <c r="G13" i="10"/>
  <c r="F5" i="8" l="1"/>
  <c r="E5" i="8"/>
  <c r="F11" i="10"/>
  <c r="E11" i="10"/>
  <c r="F8" i="10"/>
  <c r="F10" i="10"/>
  <c r="E10" i="10"/>
  <c r="F6" i="10"/>
  <c r="E6" i="10"/>
  <c r="G10" i="10" l="1"/>
  <c r="G8" i="10"/>
  <c r="G11" i="10"/>
  <c r="G5" i="8"/>
  <c r="G6" i="10"/>
  <c r="F12" i="8" l="1"/>
  <c r="H12" i="8"/>
  <c r="E12" i="8" s="1"/>
  <c r="G12" i="8" l="1"/>
  <c r="O3" i="9"/>
  <c r="N3" i="9"/>
  <c r="M3" i="9"/>
  <c r="L3" i="9"/>
  <c r="H3" i="9"/>
  <c r="G3" i="9" l="1"/>
  <c r="G4" i="9"/>
  <c r="AE3" i="9" l="1"/>
  <c r="S3" i="9"/>
  <c r="T3" i="9"/>
  <c r="R3" i="9"/>
  <c r="U3" i="9"/>
  <c r="Q3" i="9"/>
  <c r="F6" i="5" a="1"/>
  <c r="F6" i="5" s="1"/>
  <c r="F4" i="5"/>
  <c r="H11" i="1"/>
  <c r="E11" i="1" s="1"/>
  <c r="G11" i="1" s="1"/>
  <c r="E9" i="8" a="1"/>
  <c r="E9" i="8" s="1"/>
  <c r="G9" i="8" s="1"/>
  <c r="F4" i="8"/>
  <c r="E4" i="8"/>
  <c r="H3" i="8"/>
  <c r="F3" i="8"/>
  <c r="E3" i="8"/>
  <c r="G6" i="5" l="1"/>
  <c r="G4" i="5"/>
  <c r="G4" i="8"/>
  <c r="G3" i="8"/>
  <c r="H13" i="1" l="1"/>
  <c r="F13" i="1"/>
  <c r="O6" i="1"/>
  <c r="N6" i="1"/>
  <c r="M6" i="1"/>
  <c r="H6" i="1"/>
  <c r="G13" i="1" l="1"/>
  <c r="F3" i="5" l="1"/>
  <c r="G3" i="5" s="1"/>
  <c r="F7" i="5" a="1"/>
  <c r="F7" i="5" s="1"/>
  <c r="G7" i="5" l="1"/>
  <c r="G13" i="8"/>
  <c r="Z13" i="8" s="1"/>
  <c r="E5" i="1"/>
  <c r="G5" i="1" s="1"/>
  <c r="T5" i="1" l="1"/>
  <c r="U5" i="1"/>
  <c r="E6" i="1"/>
  <c r="S5" i="1" l="1"/>
  <c r="P5" i="1"/>
  <c r="Q5" i="1"/>
  <c r="R5" i="1"/>
  <c r="G6" i="1"/>
  <c r="U7" i="1" l="1"/>
  <c r="U6" i="1"/>
  <c r="U3" i="1" s="1"/>
  <c r="T6" i="1"/>
  <c r="T3" i="1" s="1"/>
  <c r="T7" i="1"/>
  <c r="S7" i="1"/>
  <c r="Q7" i="1"/>
  <c r="R7" i="1"/>
  <c r="Q6" i="1"/>
  <c r="Q3" i="1" s="1"/>
  <c r="R6" i="1"/>
  <c r="R3" i="1" s="1"/>
  <c r="S6" i="1"/>
  <c r="S3" i="1" s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tc={6F0AC4C0-430B-434D-A174-2977DF16A895}</author>
  </authors>
  <commentList>
    <comment ref="K14" authorId="0" shapeId="0" xr:uid="{6F0AC4C0-430B-434D-A174-2977DF16A895}">
      <text>
        <t>[Threaded comment]
Your version of Excel allows you to read this threaded comment; however, any edits to it will get removed if the file is opened in a newer version of Excel. Learn more: https://go.microsoft.com/fwlink/?linkid=870924
Comment:
    72B total revenue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tc={9A7BDD87-4728-4B2C-A2F9-F452DF1FAEF5}</author>
  </authors>
  <commentList>
    <comment ref="E58" authorId="0" shapeId="0" xr:uid="{9A7BDD87-4728-4B2C-A2F9-F452DF1FAEF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Series A with ARod, Thrive, Tiger, Marc Lore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<sst xmlns="http://schemas.openxmlformats.org/spreadsheetml/2006/main" count="1365" uniqueCount="919">
  <si>
    <t>Name</t>
  </si>
  <si>
    <t>Ticker</t>
  </si>
  <si>
    <t>Price</t>
  </si>
  <si>
    <t>MC</t>
  </si>
  <si>
    <t>Net Cash</t>
  </si>
  <si>
    <t>EV</t>
  </si>
  <si>
    <t>Update</t>
  </si>
  <si>
    <t>Microsoft</t>
  </si>
  <si>
    <t>MSFT</t>
  </si>
  <si>
    <t>Google</t>
  </si>
  <si>
    <t>GOOG</t>
  </si>
  <si>
    <t>Amazon</t>
  </si>
  <si>
    <t>AMZN</t>
  </si>
  <si>
    <t>Meta</t>
  </si>
  <si>
    <t>Q122</t>
  </si>
  <si>
    <t>TenCent</t>
  </si>
  <si>
    <t>700 HK</t>
  </si>
  <si>
    <t>Alibaba</t>
  </si>
  <si>
    <t>BABA</t>
  </si>
  <si>
    <t>Adobe</t>
  </si>
  <si>
    <t>ADBE</t>
  </si>
  <si>
    <t>Salesforce</t>
  </si>
  <si>
    <t>CRM</t>
  </si>
  <si>
    <t>Oracle</t>
  </si>
  <si>
    <t>ORCL</t>
  </si>
  <si>
    <t>SAP</t>
  </si>
  <si>
    <t>Intuit</t>
  </si>
  <si>
    <t>INTU</t>
  </si>
  <si>
    <t>JD</t>
  </si>
  <si>
    <t>ServiceNow</t>
  </si>
  <si>
    <t>NOW</t>
  </si>
  <si>
    <t>Paypal</t>
  </si>
  <si>
    <t>PYPL</t>
  </si>
  <si>
    <t>Stripe</t>
  </si>
  <si>
    <t>AirBnB</t>
  </si>
  <si>
    <t>ABNB</t>
  </si>
  <si>
    <t>Shopify</t>
  </si>
  <si>
    <t>SHOP</t>
  </si>
  <si>
    <t>Baidu</t>
  </si>
  <si>
    <t>BIDU</t>
  </si>
  <si>
    <t>Atlassian</t>
  </si>
  <si>
    <t>TEAM</t>
  </si>
  <si>
    <t>Uber</t>
  </si>
  <si>
    <t>UBER</t>
  </si>
  <si>
    <t>Snowflake</t>
  </si>
  <si>
    <t>SNOW</t>
  </si>
  <si>
    <t>Autodesk</t>
  </si>
  <si>
    <t>ADSK</t>
  </si>
  <si>
    <t>Cadence Design</t>
  </si>
  <si>
    <t>CDNS</t>
  </si>
  <si>
    <t>Workday</t>
  </si>
  <si>
    <t>WDAY</t>
  </si>
  <si>
    <t>Datadog</t>
  </si>
  <si>
    <t>DDOG</t>
  </si>
  <si>
    <t>Epic Games</t>
  </si>
  <si>
    <t>Klarna</t>
  </si>
  <si>
    <t>The Trade Desk</t>
  </si>
  <si>
    <t>Canva</t>
  </si>
  <si>
    <t>FTX</t>
  </si>
  <si>
    <t>DoorDash</t>
  </si>
  <si>
    <t>DASH</t>
  </si>
  <si>
    <t>ANSYS</t>
  </si>
  <si>
    <t>ANSS</t>
  </si>
  <si>
    <t>Instacart</t>
  </si>
  <si>
    <t>Paycom</t>
  </si>
  <si>
    <t>PAYC</t>
  </si>
  <si>
    <t>DocuSign</t>
  </si>
  <si>
    <t>DOCU</t>
  </si>
  <si>
    <t>HubSpot</t>
  </si>
  <si>
    <t>HUBS</t>
  </si>
  <si>
    <t>Coinbase</t>
  </si>
  <si>
    <t>COIN</t>
  </si>
  <si>
    <t>AppLovin</t>
  </si>
  <si>
    <t>APP</t>
  </si>
  <si>
    <t>Spotify</t>
  </si>
  <si>
    <t>SPOT</t>
  </si>
  <si>
    <t>Roblox</t>
  </si>
  <si>
    <t>RBLX</t>
  </si>
  <si>
    <t>ZoomInfo</t>
  </si>
  <si>
    <t>ZI</t>
  </si>
  <si>
    <t>Check Point</t>
  </si>
  <si>
    <t>CHKP</t>
  </si>
  <si>
    <t>SS&amp;C</t>
  </si>
  <si>
    <t>SSNC</t>
  </si>
  <si>
    <t>Tyler Technologies</t>
  </si>
  <si>
    <t>TYL</t>
  </si>
  <si>
    <t>Chime</t>
  </si>
  <si>
    <t>Unity Software</t>
  </si>
  <si>
    <t>U</t>
  </si>
  <si>
    <t>BILL</t>
  </si>
  <si>
    <t>Aspen Technology</t>
  </si>
  <si>
    <t>AZPN</t>
  </si>
  <si>
    <t>PTC</t>
  </si>
  <si>
    <t>NICE</t>
  </si>
  <si>
    <t>Dynatrace</t>
  </si>
  <si>
    <t>DT</t>
  </si>
  <si>
    <t>DiDi</t>
  </si>
  <si>
    <t>DIDI</t>
  </si>
  <si>
    <t>Citrix</t>
  </si>
  <si>
    <t>Open Text</t>
  </si>
  <si>
    <t>OTEX</t>
  </si>
  <si>
    <t>Fair Isaac</t>
  </si>
  <si>
    <t>FICO</t>
  </si>
  <si>
    <t>Paylocity</t>
  </si>
  <si>
    <t>PCTY</t>
  </si>
  <si>
    <t>Zendesk</t>
  </si>
  <si>
    <t>ZEN</t>
  </si>
  <si>
    <t>BSY</t>
  </si>
  <si>
    <t>Figma</t>
  </si>
  <si>
    <t>Full Truck Alliance</t>
  </si>
  <si>
    <t>YMM</t>
  </si>
  <si>
    <t>Qualtrics</t>
  </si>
  <si>
    <t>XM</t>
  </si>
  <si>
    <t>Globant</t>
  </si>
  <si>
    <t>GLOB</t>
  </si>
  <si>
    <t>GoPuff</t>
  </si>
  <si>
    <t>Manhattan Associates</t>
  </si>
  <si>
    <t>MANH</t>
  </si>
  <si>
    <t>Gitlab</t>
  </si>
  <si>
    <t>GTLB</t>
  </si>
  <si>
    <t>Flexport</t>
  </si>
  <si>
    <t>Avalara</t>
  </si>
  <si>
    <t>AVLR</t>
  </si>
  <si>
    <t>Elastic</t>
  </si>
  <si>
    <t>ESTC</t>
  </si>
  <si>
    <t>ProCore</t>
  </si>
  <si>
    <t>PCOR</t>
  </si>
  <si>
    <t>GuideWire</t>
  </si>
  <si>
    <t>GWRE</t>
  </si>
  <si>
    <t>Bumble</t>
  </si>
  <si>
    <t>BMBL</t>
  </si>
  <si>
    <t>Lyft</t>
  </si>
  <si>
    <t>LYFT</t>
  </si>
  <si>
    <t>CDK Global</t>
  </si>
  <si>
    <t>CDK</t>
  </si>
  <si>
    <t>RingCentral</t>
  </si>
  <si>
    <t>RNG</t>
  </si>
  <si>
    <t>WIX</t>
  </si>
  <si>
    <t>SquareSpace</t>
  </si>
  <si>
    <t>SQSP</t>
  </si>
  <si>
    <t>Anthropic</t>
  </si>
  <si>
    <t>Conjecture</t>
  </si>
  <si>
    <t>Main</t>
  </si>
  <si>
    <t>Phreesia</t>
  </si>
  <si>
    <t>PHR</t>
  </si>
  <si>
    <t>Valuation</t>
  </si>
  <si>
    <t>USDHKD</t>
  </si>
  <si>
    <t>USDRMB</t>
  </si>
  <si>
    <t>Palantir</t>
  </si>
  <si>
    <t>PLTR</t>
  </si>
  <si>
    <t>None</t>
  </si>
  <si>
    <t>Palo Alto Networks</t>
  </si>
  <si>
    <t>PANW</t>
  </si>
  <si>
    <t>CrowdStrike</t>
  </si>
  <si>
    <t>CRWD</t>
  </si>
  <si>
    <t>FTNT</t>
  </si>
  <si>
    <t>Fortinet</t>
  </si>
  <si>
    <t>Ebay</t>
  </si>
  <si>
    <t>EBAY</t>
  </si>
  <si>
    <t>Etsy</t>
  </si>
  <si>
    <t>ETSY</t>
  </si>
  <si>
    <t>Visa</t>
  </si>
  <si>
    <t>V</t>
  </si>
  <si>
    <t>Mastercard</t>
  </si>
  <si>
    <t>Electronic Arts</t>
  </si>
  <si>
    <t>EA</t>
  </si>
  <si>
    <t>Take-Two</t>
  </si>
  <si>
    <t>TTWO</t>
  </si>
  <si>
    <t>Activision</t>
  </si>
  <si>
    <t>ATVI</t>
  </si>
  <si>
    <t>Nintendo</t>
  </si>
  <si>
    <t>Veeva</t>
  </si>
  <si>
    <t>VEEV</t>
  </si>
  <si>
    <t>Constellation</t>
  </si>
  <si>
    <t>CSU CN</t>
  </si>
  <si>
    <t>ZM</t>
  </si>
  <si>
    <t>Dassault</t>
  </si>
  <si>
    <t>DSY FP</t>
  </si>
  <si>
    <t>Synopsys</t>
  </si>
  <si>
    <t>SNPS</t>
  </si>
  <si>
    <t>Zscaler</t>
  </si>
  <si>
    <t>ZS</t>
  </si>
  <si>
    <t>MongoDB</t>
  </si>
  <si>
    <t>MDB</t>
  </si>
  <si>
    <t>Splunk</t>
  </si>
  <si>
    <t>Twilio</t>
  </si>
  <si>
    <t>TWLO</t>
  </si>
  <si>
    <t>Cloudflare</t>
  </si>
  <si>
    <t>NET</t>
  </si>
  <si>
    <t>Okta</t>
  </si>
  <si>
    <t>OKTA</t>
  </si>
  <si>
    <t>Akamai</t>
  </si>
  <si>
    <t>AKAM</t>
  </si>
  <si>
    <t>META</t>
  </si>
  <si>
    <t>Booking</t>
  </si>
  <si>
    <t>BKNG</t>
  </si>
  <si>
    <t>Pinduoduo</t>
  </si>
  <si>
    <t>PDD</t>
  </si>
  <si>
    <t>Q222</t>
  </si>
  <si>
    <t>Global Shop Solutions</t>
  </si>
  <si>
    <t>ERP</t>
  </si>
  <si>
    <t>Description</t>
  </si>
  <si>
    <t>Fintech</t>
  </si>
  <si>
    <t>Supply Chain</t>
  </si>
  <si>
    <t>AI</t>
  </si>
  <si>
    <t>EURUSD</t>
  </si>
  <si>
    <t>NPV</t>
  </si>
  <si>
    <t>Discount</t>
  </si>
  <si>
    <t>Terminal</t>
  </si>
  <si>
    <t>ROIC</t>
  </si>
  <si>
    <t>Upside</t>
  </si>
  <si>
    <t>S/O</t>
  </si>
  <si>
    <t>Founded</t>
  </si>
  <si>
    <t>Coursera</t>
  </si>
  <si>
    <t>COUR</t>
  </si>
  <si>
    <t>Upwork</t>
  </si>
  <si>
    <t>UPWK</t>
  </si>
  <si>
    <t>Hexagon</t>
  </si>
  <si>
    <t>HEXA.B SS</t>
  </si>
  <si>
    <t>Q421</t>
  </si>
  <si>
    <t>Schrodinger</t>
  </si>
  <si>
    <t>SDGR</t>
  </si>
  <si>
    <t>Last</t>
  </si>
  <si>
    <t>USDSEK</t>
  </si>
  <si>
    <t>Matterport</t>
  </si>
  <si>
    <t>MTTR</t>
  </si>
  <si>
    <t>EPS 22</t>
  </si>
  <si>
    <t>EV/E 22</t>
  </si>
  <si>
    <t>EV/E 23</t>
  </si>
  <si>
    <t>EV/E 24</t>
  </si>
  <si>
    <t>7974 JP</t>
  </si>
  <si>
    <t>USDJPY</t>
  </si>
  <si>
    <t>USDCAD</t>
  </si>
  <si>
    <t>Jar</t>
  </si>
  <si>
    <t>Funding</t>
  </si>
  <si>
    <t>112m</t>
  </si>
  <si>
    <t>Lysto</t>
  </si>
  <si>
    <t>Gaming</t>
  </si>
  <si>
    <t>Investors</t>
  </si>
  <si>
    <t>Tiger</t>
  </si>
  <si>
    <t>Mojo</t>
  </si>
  <si>
    <t>Block</t>
  </si>
  <si>
    <t>Stake</t>
  </si>
  <si>
    <t>peach.cool</t>
  </si>
  <si>
    <t>BeReal</t>
  </si>
  <si>
    <t>Onlyfans</t>
  </si>
  <si>
    <t>Private</t>
  </si>
  <si>
    <t>Games24x7</t>
  </si>
  <si>
    <t>CD Projekt</t>
  </si>
  <si>
    <t>Ubisoft</t>
  </si>
  <si>
    <t>UBI FP</t>
  </si>
  <si>
    <t>x</t>
  </si>
  <si>
    <t>Meituan</t>
  </si>
  <si>
    <t>3690 HK</t>
  </si>
  <si>
    <t>IBM</t>
  </si>
  <si>
    <t>S&amp;P Global</t>
  </si>
  <si>
    <t>SPGI</t>
  </si>
  <si>
    <t>Sony</t>
  </si>
  <si>
    <t>6758 JP</t>
  </si>
  <si>
    <t>Automatic Data Processing</t>
  </si>
  <si>
    <t>ADP</t>
  </si>
  <si>
    <t>Netflix</t>
  </si>
  <si>
    <t>NFLX</t>
  </si>
  <si>
    <t>Fiserv</t>
  </si>
  <si>
    <t>Netease</t>
  </si>
  <si>
    <t>NTES</t>
  </si>
  <si>
    <t>Intercontinental</t>
  </si>
  <si>
    <t>ICE</t>
  </si>
  <si>
    <t>Paychex</t>
  </si>
  <si>
    <t>PAYX</t>
  </si>
  <si>
    <t>Adyen</t>
  </si>
  <si>
    <t>ADYEN NA</t>
  </si>
  <si>
    <t>Gemini</t>
  </si>
  <si>
    <t>Drift</t>
  </si>
  <si>
    <t>Magic Eden</t>
  </si>
  <si>
    <t>ByteDance</t>
  </si>
  <si>
    <t>Pinterest</t>
  </si>
  <si>
    <t>PINS</t>
  </si>
  <si>
    <t>Kuaishou</t>
  </si>
  <si>
    <t>1024 HK</t>
  </si>
  <si>
    <t>Weibo</t>
  </si>
  <si>
    <t>WB</t>
  </si>
  <si>
    <t>Sea</t>
  </si>
  <si>
    <t>SE</t>
  </si>
  <si>
    <t>Mercadolibre</t>
  </si>
  <si>
    <t>MELI</t>
  </si>
  <si>
    <t>MSCI</t>
  </si>
  <si>
    <t>Global Payments</t>
  </si>
  <si>
    <t>GPN</t>
  </si>
  <si>
    <t>Arista</t>
  </si>
  <si>
    <t>ANET</t>
  </si>
  <si>
    <t>Experian</t>
  </si>
  <si>
    <t>EXPN LN</t>
  </si>
  <si>
    <t>Zoom</t>
  </si>
  <si>
    <t>Discover</t>
  </si>
  <si>
    <t>DFS</t>
  </si>
  <si>
    <t>Naver</t>
  </si>
  <si>
    <t>035420 KS</t>
  </si>
  <si>
    <t>Verisk</t>
  </si>
  <si>
    <t>VRSK</t>
  </si>
  <si>
    <t>Coupang</t>
  </si>
  <si>
    <t>CPNG</t>
  </si>
  <si>
    <t>Copart</t>
  </si>
  <si>
    <t>CPRT</t>
  </si>
  <si>
    <t>Nasdaq</t>
  </si>
  <si>
    <t>NDAQ</t>
  </si>
  <si>
    <t>Goto Gojek Tokopedia</t>
  </si>
  <si>
    <t>GOTO IJ</t>
  </si>
  <si>
    <t>JD Health</t>
  </si>
  <si>
    <t>6618 HK</t>
  </si>
  <si>
    <t>Amadeus</t>
  </si>
  <si>
    <t>AMS SM</t>
  </si>
  <si>
    <t>MA</t>
  </si>
  <si>
    <t>Simulations Plus</t>
  </si>
  <si>
    <t>Certera</t>
  </si>
  <si>
    <t>Discord</t>
  </si>
  <si>
    <t>Match</t>
  </si>
  <si>
    <t>MTCH</t>
  </si>
  <si>
    <t>Hinge</t>
  </si>
  <si>
    <t>Reddit</t>
  </si>
  <si>
    <t>Signal</t>
  </si>
  <si>
    <t>Truth Social</t>
  </si>
  <si>
    <t>Quora</t>
  </si>
  <si>
    <t>Telegram</t>
  </si>
  <si>
    <t>SecondLife</t>
  </si>
  <si>
    <t>Hashicorp</t>
  </si>
  <si>
    <t>Kakao</t>
  </si>
  <si>
    <t>035720 KS</t>
  </si>
  <si>
    <t>4689 JP</t>
  </si>
  <si>
    <t>Mozilla</t>
  </si>
  <si>
    <t>Opera</t>
  </si>
  <si>
    <t>Javascript</t>
  </si>
  <si>
    <t>WebGL</t>
  </si>
  <si>
    <t>OpenGL</t>
  </si>
  <si>
    <t>API</t>
  </si>
  <si>
    <t>application programming interface</t>
  </si>
  <si>
    <t>canvas</t>
  </si>
  <si>
    <t>HTML object</t>
  </si>
  <si>
    <t>DirectX</t>
  </si>
  <si>
    <t>Three.js</t>
  </si>
  <si>
    <t>Unity</t>
  </si>
  <si>
    <t>DOS</t>
  </si>
  <si>
    <t>FAT</t>
  </si>
  <si>
    <t>File Allocation Table</t>
  </si>
  <si>
    <t>MySpace</t>
  </si>
  <si>
    <t>BASIC</t>
  </si>
  <si>
    <t>Q322</t>
  </si>
  <si>
    <t>Hive Social</t>
  </si>
  <si>
    <t>Wizz</t>
  </si>
  <si>
    <t>Life360</t>
  </si>
  <si>
    <t>Google Meet</t>
  </si>
  <si>
    <t>Mastodon</t>
  </si>
  <si>
    <t>Plenty of Fish</t>
  </si>
  <si>
    <t>Tumblr?</t>
  </si>
  <si>
    <t>Wink</t>
  </si>
  <si>
    <t>Grindr</t>
  </si>
  <si>
    <t>Hily</t>
  </si>
  <si>
    <t>Kik</t>
  </si>
  <si>
    <t>Yubo</t>
  </si>
  <si>
    <t>Monkey Run</t>
  </si>
  <si>
    <t>WooPlus</t>
  </si>
  <si>
    <t>CougarD</t>
  </si>
  <si>
    <t>Fizz</t>
  </si>
  <si>
    <t>Glow</t>
  </si>
  <si>
    <t>Ashley Madison</t>
  </si>
  <si>
    <t>Stir</t>
  </si>
  <si>
    <t>Zoosk</t>
  </si>
  <si>
    <t>3Fun</t>
  </si>
  <si>
    <t>Upward</t>
  </si>
  <si>
    <t>SLP</t>
  </si>
  <si>
    <t>SideFX</t>
  </si>
  <si>
    <t>Snap</t>
  </si>
  <si>
    <t>SNAP</t>
  </si>
  <si>
    <t>Redfin</t>
  </si>
  <si>
    <t>RDFN</t>
  </si>
  <si>
    <t>Opendoor</t>
  </si>
  <si>
    <t>Q422</t>
  </si>
  <si>
    <t>SONY</t>
  </si>
  <si>
    <t>Replit</t>
  </si>
  <si>
    <t>NowCoder</t>
  </si>
  <si>
    <t>Turing</t>
  </si>
  <si>
    <t>NC</t>
  </si>
  <si>
    <t>Q</t>
  </si>
  <si>
    <t>Sprinklr</t>
  </si>
  <si>
    <t>CXM</t>
  </si>
  <si>
    <t>MathWorks</t>
  </si>
  <si>
    <t>Matlab</t>
  </si>
  <si>
    <t>OpenAI</t>
  </si>
  <si>
    <t>Doximity</t>
  </si>
  <si>
    <t>Nextracker</t>
  </si>
  <si>
    <t>Confluent</t>
  </si>
  <si>
    <t>Databricks</t>
  </si>
  <si>
    <t>Notion</t>
  </si>
  <si>
    <t>Sequoia, Coatue, Shine</t>
  </si>
  <si>
    <t>275 Series C 10/8/2021</t>
  </si>
  <si>
    <t>50m Series B 4/2/2020 at 2B</t>
  </si>
  <si>
    <t>Niantic</t>
  </si>
  <si>
    <t>Paddle</t>
  </si>
  <si>
    <t>Benchling</t>
  </si>
  <si>
    <t>Vercel</t>
  </si>
  <si>
    <t>BlueSky</t>
  </si>
  <si>
    <t>AWS</t>
  </si>
  <si>
    <t>Cadence</t>
  </si>
  <si>
    <t>MicroPro</t>
  </si>
  <si>
    <t>Fielded WordStar, first word processor</t>
  </si>
  <si>
    <t>VisiCalc</t>
  </si>
  <si>
    <t>Cerner</t>
  </si>
  <si>
    <t>PeopleSoft</t>
  </si>
  <si>
    <t>Siebel</t>
  </si>
  <si>
    <t>Instagram</t>
  </si>
  <si>
    <t>Aquantive</t>
  </si>
  <si>
    <t>Red Hat</t>
  </si>
  <si>
    <t>Total</t>
  </si>
  <si>
    <t>MAUs</t>
  </si>
  <si>
    <t>MC/MAU</t>
  </si>
  <si>
    <t>MAU</t>
  </si>
  <si>
    <t>Roper</t>
  </si>
  <si>
    <t>ROP</t>
  </si>
  <si>
    <t>Beijing Kingsoft</t>
  </si>
  <si>
    <t>688111 CH</t>
  </si>
  <si>
    <t>Kaspi</t>
  </si>
  <si>
    <t>KSPI KZ</t>
  </si>
  <si>
    <t>Obic</t>
  </si>
  <si>
    <t>4684 JP</t>
  </si>
  <si>
    <t>Wisetech</t>
  </si>
  <si>
    <t>WTC AU</t>
  </si>
  <si>
    <t>Hundsun</t>
  </si>
  <si>
    <t>600570 CH</t>
  </si>
  <si>
    <t>Gen Digital</t>
  </si>
  <si>
    <t>GEN</t>
  </si>
  <si>
    <t>Sage</t>
  </si>
  <si>
    <t>SGE LN</t>
  </si>
  <si>
    <t>YonYou</t>
  </si>
  <si>
    <t>600588 CH</t>
  </si>
  <si>
    <t>Bill Holdings</t>
  </si>
  <si>
    <t>002410 CH Equity</t>
  </si>
  <si>
    <t>Glodon</t>
  </si>
  <si>
    <t>Samsara</t>
  </si>
  <si>
    <t>IOT</t>
  </si>
  <si>
    <t>Immutable</t>
  </si>
  <si>
    <t>$15m Series A</t>
  </si>
  <si>
    <t>Character.ai</t>
  </si>
  <si>
    <t>Glance</t>
  </si>
  <si>
    <t>Trading around 8000 in secondary markets</t>
  </si>
  <si>
    <t>200m Series D</t>
  </si>
  <si>
    <t>Date</t>
  </si>
  <si>
    <t>Zuoyebang</t>
  </si>
  <si>
    <t>Edtech</t>
  </si>
  <si>
    <t>2013?</t>
  </si>
  <si>
    <t>Lotus</t>
  </si>
  <si>
    <t>Netscape</t>
  </si>
  <si>
    <t>AOL</t>
  </si>
  <si>
    <t>Oculus</t>
  </si>
  <si>
    <t>WhatsApp</t>
  </si>
  <si>
    <t>Aspect Development</t>
  </si>
  <si>
    <t>i2 Technologies</t>
  </si>
  <si>
    <t>Nuance</t>
  </si>
  <si>
    <t>Interactive Entertainment</t>
  </si>
  <si>
    <t>Animoca</t>
  </si>
  <si>
    <t>Shanda Games</t>
  </si>
  <si>
    <t>Legend of Mirr II</t>
  </si>
  <si>
    <t>ZeniMax</t>
  </si>
  <si>
    <t>Krafton</t>
  </si>
  <si>
    <t>259960 KS</t>
  </si>
  <si>
    <t>Sky Mavis</t>
  </si>
  <si>
    <t>Rec Room</t>
  </si>
  <si>
    <t>Wildlife Studios</t>
  </si>
  <si>
    <t>Tripledot Studios</t>
  </si>
  <si>
    <t>NCSoft</t>
  </si>
  <si>
    <t>Lionheart</t>
  </si>
  <si>
    <t>Embracer</t>
  </si>
  <si>
    <t>EMRBAC SS</t>
  </si>
  <si>
    <t>Savvy Games Group</t>
  </si>
  <si>
    <t>Stumble Guys</t>
  </si>
  <si>
    <t>Devolver Digital</t>
  </si>
  <si>
    <t>DEVO LN</t>
  </si>
  <si>
    <t>TTD</t>
  </si>
  <si>
    <t>Rational</t>
  </si>
  <si>
    <t>Benioff</t>
  </si>
  <si>
    <t>Marc</t>
  </si>
  <si>
    <t>First</t>
  </si>
  <si>
    <t>Company</t>
  </si>
  <si>
    <t>Microstrategy</t>
  </si>
  <si>
    <t>MSTR</t>
  </si>
  <si>
    <t>Bentley Systems</t>
  </si>
  <si>
    <t>Nutanix</t>
  </si>
  <si>
    <t>NTNX</t>
  </si>
  <si>
    <t>iFlyTek</t>
  </si>
  <si>
    <t>002230 CH</t>
  </si>
  <si>
    <t>Aspen</t>
  </si>
  <si>
    <t>Xero</t>
  </si>
  <si>
    <t>XRO AU</t>
  </si>
  <si>
    <t>PATH</t>
  </si>
  <si>
    <t>UIpath</t>
  </si>
  <si>
    <t>Informatica</t>
  </si>
  <si>
    <t>INFA</t>
  </si>
  <si>
    <t>CFLT</t>
  </si>
  <si>
    <t>Nemetschek</t>
  </si>
  <si>
    <t>NEM GR</t>
  </si>
  <si>
    <t>CyberArk</t>
  </si>
  <si>
    <t>CYBR</t>
  </si>
  <si>
    <t>Monday.com</t>
  </si>
  <si>
    <t>MNDY</t>
  </si>
  <si>
    <t>Dayforce</t>
  </si>
  <si>
    <t>DAY</t>
  </si>
  <si>
    <t>Duolingo</t>
  </si>
  <si>
    <t>DUOL</t>
  </si>
  <si>
    <t>Oracle Japan</t>
  </si>
  <si>
    <t>4716 JP</t>
  </si>
  <si>
    <t>DOCS</t>
  </si>
  <si>
    <t>Asana</t>
  </si>
  <si>
    <t>ASAN</t>
  </si>
  <si>
    <t>Cambricon</t>
  </si>
  <si>
    <t>688256 CH</t>
  </si>
  <si>
    <t>Oracle Financial</t>
  </si>
  <si>
    <t>OFSS IN</t>
  </si>
  <si>
    <t>AppFolio</t>
  </si>
  <si>
    <t>APPF</t>
  </si>
  <si>
    <t>Dropbox</t>
  </si>
  <si>
    <t>DBX</t>
  </si>
  <si>
    <t>Lumine Group</t>
  </si>
  <si>
    <t>LMN CN</t>
  </si>
  <si>
    <t>Descartes Systems</t>
  </si>
  <si>
    <t>DSG CN</t>
  </si>
  <si>
    <t>Topicus.com</t>
  </si>
  <si>
    <t>TOI CN</t>
  </si>
  <si>
    <t>Pro Medicus</t>
  </si>
  <si>
    <t>PME AU</t>
  </si>
  <si>
    <t>Trend Micro</t>
  </si>
  <si>
    <t>4704 JP</t>
  </si>
  <si>
    <t>Altair Engineering</t>
  </si>
  <si>
    <t>ALTR</t>
  </si>
  <si>
    <t>CCC Intelligent</t>
  </si>
  <si>
    <t>CCCS</t>
  </si>
  <si>
    <t>SentinelOne</t>
  </si>
  <si>
    <t>S</t>
  </si>
  <si>
    <t>TeamViewer</t>
  </si>
  <si>
    <t>TMV GR</t>
  </si>
  <si>
    <t>PB Fintech</t>
  </si>
  <si>
    <t>POLICYBZ IN</t>
  </si>
  <si>
    <t>SPS Commerce</t>
  </si>
  <si>
    <t>SPSC</t>
  </si>
  <si>
    <t>Klaviyo</t>
  </si>
  <si>
    <t>KVYO</t>
  </si>
  <si>
    <t>Qualys</t>
  </si>
  <si>
    <t>QLYS</t>
  </si>
  <si>
    <t>Empyrean Technology</t>
  </si>
  <si>
    <t>301269 CH</t>
  </si>
  <si>
    <t>Global-E</t>
  </si>
  <si>
    <t>GLBE</t>
  </si>
  <si>
    <t>Tata Elxsi</t>
  </si>
  <si>
    <t>TELX IN</t>
  </si>
  <si>
    <t>Tenable</t>
  </si>
  <si>
    <t>TENB</t>
  </si>
  <si>
    <t>Altium</t>
  </si>
  <si>
    <t>ALT AU</t>
  </si>
  <si>
    <t>DoubleVerify</t>
  </si>
  <si>
    <t>DV</t>
  </si>
  <si>
    <t>FreshWorks</t>
  </si>
  <si>
    <t>FRSH</t>
  </si>
  <si>
    <t>SmartSheet</t>
  </si>
  <si>
    <t>SMAR</t>
  </si>
  <si>
    <t>Temenos</t>
  </si>
  <si>
    <t>TEMN SW</t>
  </si>
  <si>
    <t>PegaSystems</t>
  </si>
  <si>
    <t>PEGA</t>
  </si>
  <si>
    <t>Varonis</t>
  </si>
  <si>
    <t>VRNS</t>
  </si>
  <si>
    <t>Vertex</t>
  </si>
  <si>
    <t>VERX</t>
  </si>
  <si>
    <t>Jfrog</t>
  </si>
  <si>
    <t>FROG</t>
  </si>
  <si>
    <t>Workiva</t>
  </si>
  <si>
    <t>WK</t>
  </si>
  <si>
    <t>Braze</t>
  </si>
  <si>
    <t>BRZE</t>
  </si>
  <si>
    <t>Five9</t>
  </si>
  <si>
    <t>FIVN</t>
  </si>
  <si>
    <t>Commvault</t>
  </si>
  <si>
    <t>CVLT</t>
  </si>
  <si>
    <t>PowerSchool</t>
  </si>
  <si>
    <t>PWSC</t>
  </si>
  <si>
    <t>Clearwater Analytics</t>
  </si>
  <si>
    <t>CWAN</t>
  </si>
  <si>
    <t>Verra Mobility</t>
  </si>
  <si>
    <t>VRRM</t>
  </si>
  <si>
    <t>BlackLine</t>
  </si>
  <si>
    <t>BL</t>
  </si>
  <si>
    <t>Box</t>
  </si>
  <si>
    <t>BOX</t>
  </si>
  <si>
    <t>Ncino</t>
  </si>
  <si>
    <t>NCNO</t>
  </si>
  <si>
    <t>Kingdee</t>
  </si>
  <si>
    <t>268 HK</t>
  </si>
  <si>
    <t>Concentrix</t>
  </si>
  <si>
    <t>CNXC</t>
  </si>
  <si>
    <t>Darktrace</t>
  </si>
  <si>
    <t>DARK LN</t>
  </si>
  <si>
    <t>Blackbaud</t>
  </si>
  <si>
    <t>BLKB</t>
  </si>
  <si>
    <t>Fortnox</t>
  </si>
  <si>
    <t>FNOX SS</t>
  </si>
  <si>
    <t>Teradata</t>
  </si>
  <si>
    <t>TDC</t>
  </si>
  <si>
    <t>Ionos</t>
  </si>
  <si>
    <t>IOS GR</t>
  </si>
  <si>
    <t>Obic Business</t>
  </si>
  <si>
    <t>4733 JP</t>
  </si>
  <si>
    <t>PRTS</t>
  </si>
  <si>
    <t>CarParts.com</t>
  </si>
  <si>
    <t>Q224</t>
  </si>
  <si>
    <t>QXO</t>
  </si>
  <si>
    <t>OPRA</t>
  </si>
  <si>
    <t>Renren</t>
  </si>
  <si>
    <t>Kunlun</t>
  </si>
  <si>
    <t>GRND</t>
  </si>
  <si>
    <t>SoundHound</t>
  </si>
  <si>
    <t>SOUN</t>
  </si>
  <si>
    <t>Skool</t>
  </si>
  <si>
    <t>fka TWTR</t>
  </si>
  <si>
    <t>X, fka Twitter</t>
  </si>
  <si>
    <t>Acquired by Google</t>
  </si>
  <si>
    <t>Gather</t>
  </si>
  <si>
    <t>Circle.so</t>
  </si>
  <si>
    <t>Chegg</t>
  </si>
  <si>
    <t>CHGG</t>
  </si>
  <si>
    <t>Robinhood</t>
  </si>
  <si>
    <t>HOOD</t>
  </si>
  <si>
    <t>9988</t>
  </si>
  <si>
    <t>9888 HK</t>
  </si>
  <si>
    <t>TRAK</t>
  </si>
  <si>
    <t>Repositrak</t>
  </si>
  <si>
    <t>Toast</t>
  </si>
  <si>
    <t>TOST</t>
  </si>
  <si>
    <t>FI</t>
  </si>
  <si>
    <t>Eventbrite</t>
  </si>
  <si>
    <t>RDDT</t>
  </si>
  <si>
    <t>EB</t>
  </si>
  <si>
    <t>DJT</t>
  </si>
  <si>
    <t>PagSeguro Digital</t>
  </si>
  <si>
    <t>PAGS</t>
  </si>
  <si>
    <t>Root</t>
  </si>
  <si>
    <t>ROOT</t>
  </si>
  <si>
    <t>Nerdy</t>
  </si>
  <si>
    <t>NRDY</t>
  </si>
  <si>
    <t>Dlocal</t>
  </si>
  <si>
    <t>DLO</t>
  </si>
  <si>
    <t>Evolution</t>
  </si>
  <si>
    <t>EVO ST</t>
  </si>
  <si>
    <t>Webtoon</t>
  </si>
  <si>
    <t>WBTN</t>
  </si>
  <si>
    <t>Q324</t>
  </si>
  <si>
    <t>Cyera</t>
  </si>
  <si>
    <t>FiscalNote</t>
  </si>
  <si>
    <t>NOTE</t>
  </si>
  <si>
    <t>Dave</t>
  </si>
  <si>
    <t>Sofi</t>
  </si>
  <si>
    <t>DAVE</t>
  </si>
  <si>
    <t>SOFI</t>
  </si>
  <si>
    <t>GCT</t>
  </si>
  <si>
    <t>GigaCloud</t>
  </si>
  <si>
    <t>Yalla</t>
  </si>
  <si>
    <t>YALA</t>
  </si>
  <si>
    <t>Zeta</t>
  </si>
  <si>
    <t>Q424</t>
  </si>
  <si>
    <t>XYZ</t>
  </si>
  <si>
    <t>Age</t>
  </si>
  <si>
    <t>Tempus</t>
  </si>
  <si>
    <t>TEM</t>
  </si>
  <si>
    <t>Recruit</t>
  </si>
  <si>
    <t>6098 JP</t>
  </si>
  <si>
    <t>Zalando</t>
  </si>
  <si>
    <t>ZAL GR</t>
  </si>
  <si>
    <t>London Stock Exchange</t>
  </si>
  <si>
    <t>LSEG LN</t>
  </si>
  <si>
    <t>Softbank Corp</t>
  </si>
  <si>
    <t>9434 JP</t>
  </si>
  <si>
    <t>Hong Kong Exchanges</t>
  </si>
  <si>
    <t>388 HK</t>
  </si>
  <si>
    <t>East Money Information</t>
  </si>
  <si>
    <t>300059 CH</t>
  </si>
  <si>
    <t>Flutter</t>
  </si>
  <si>
    <t>FLUT</t>
  </si>
  <si>
    <t>Trip.com</t>
  </si>
  <si>
    <t>TCOM</t>
  </si>
  <si>
    <t>Xchange Tec</t>
  </si>
  <si>
    <t>XHG</t>
  </si>
  <si>
    <t>Fastly</t>
  </si>
  <si>
    <t>FSLY</t>
  </si>
  <si>
    <t>Clear</t>
  </si>
  <si>
    <t>YOU</t>
  </si>
  <si>
    <t>Softbank Group</t>
  </si>
  <si>
    <t>9984 JP</t>
  </si>
  <si>
    <t>Fidelity National Info</t>
  </si>
  <si>
    <t>FIS</t>
  </si>
  <si>
    <t>Equifax</t>
  </si>
  <si>
    <t>EFX</t>
  </si>
  <si>
    <t>Rev 24</t>
  </si>
  <si>
    <t>Rev 25</t>
  </si>
  <si>
    <t>Rev 26</t>
  </si>
  <si>
    <t>EV/Rev 24</t>
  </si>
  <si>
    <t>EV/Rev 25</t>
  </si>
  <si>
    <t>EV/Rev 26</t>
  </si>
  <si>
    <t>Average</t>
  </si>
  <si>
    <t>Costar</t>
  </si>
  <si>
    <t>CSGP</t>
  </si>
  <si>
    <t>GoDaddy</t>
  </si>
  <si>
    <t>GDDY</t>
  </si>
  <si>
    <t>Broadridge</t>
  </si>
  <si>
    <t>BR</t>
  </si>
  <si>
    <t>Tradeweb</t>
  </si>
  <si>
    <t>TW</t>
  </si>
  <si>
    <t>Expedia</t>
  </si>
  <si>
    <t>EXPE</t>
  </si>
  <si>
    <t>Corpay</t>
  </si>
  <si>
    <t>CPAY</t>
  </si>
  <si>
    <t>Affirm</t>
  </si>
  <si>
    <t>AFRM</t>
  </si>
  <si>
    <t>KE Holdings</t>
  </si>
  <si>
    <t>2423 HK</t>
  </si>
  <si>
    <t>Kingsoft Office</t>
  </si>
  <si>
    <t>Zomato</t>
  </si>
  <si>
    <t>ETERNAL IN</t>
  </si>
  <si>
    <t>LY Corp</t>
  </si>
  <si>
    <t>Hithink RoyalFlush</t>
  </si>
  <si>
    <t>300033 CH</t>
  </si>
  <si>
    <t>DKNG</t>
  </si>
  <si>
    <t>DraftKings</t>
  </si>
  <si>
    <t>Rea</t>
  </si>
  <si>
    <t>REA AU</t>
  </si>
  <si>
    <t>Rubrik</t>
  </si>
  <si>
    <t>RBRK</t>
  </si>
  <si>
    <t>SmartRent</t>
  </si>
  <si>
    <t>SMRT</t>
  </si>
  <si>
    <t>Chewy</t>
  </si>
  <si>
    <t>CHWY</t>
  </si>
  <si>
    <t>NewEgg</t>
  </si>
  <si>
    <t>NEGG</t>
  </si>
  <si>
    <t>Q125</t>
  </si>
  <si>
    <t>OPEN</t>
  </si>
  <si>
    <t>Hims</t>
  </si>
  <si>
    <t>HIMS</t>
  </si>
  <si>
    <t>Bloomberg</t>
  </si>
  <si>
    <t>ServiceTitan</t>
  </si>
  <si>
    <t>Coupa</t>
  </si>
  <si>
    <t>Amdocs</t>
  </si>
  <si>
    <t>Monday</t>
  </si>
  <si>
    <t>Epicor</t>
  </si>
  <si>
    <t>Ansys</t>
  </si>
  <si>
    <t>JetBrains</t>
  </si>
  <si>
    <t>Slack</t>
  </si>
  <si>
    <t>Factset</t>
  </si>
  <si>
    <t>Epic</t>
  </si>
  <si>
    <t>Guidewire</t>
  </si>
  <si>
    <t>Computer Associates</t>
  </si>
  <si>
    <t>Baan</t>
  </si>
  <si>
    <t>Informix</t>
  </si>
  <si>
    <t>Sybase</t>
  </si>
  <si>
    <t>Novell</t>
  </si>
  <si>
    <t>VMWare</t>
  </si>
  <si>
    <t>Corel</t>
  </si>
  <si>
    <t>Symantec</t>
  </si>
  <si>
    <t>Borland</t>
  </si>
  <si>
    <t>Appian</t>
  </si>
  <si>
    <t>Cursor</t>
  </si>
  <si>
    <t>Global GDP</t>
  </si>
  <si>
    <t>Ratio</t>
  </si>
  <si>
    <t xml:space="preserve">  y/y</t>
  </si>
  <si>
    <t>GitLab</t>
  </si>
  <si>
    <t>ZETA</t>
  </si>
  <si>
    <t>Cisco</t>
  </si>
  <si>
    <t>Q225</t>
  </si>
  <si>
    <t>Acquired by IBM for 3.5B.</t>
  </si>
  <si>
    <t>Acquired by IBM for 2.1B.</t>
  </si>
  <si>
    <t>BMC</t>
  </si>
  <si>
    <t>Parametric</t>
  </si>
  <si>
    <t>Tibco</t>
  </si>
  <si>
    <t>BEA</t>
  </si>
  <si>
    <t>Loudcloud</t>
  </si>
  <si>
    <t>HashiCorp</t>
  </si>
  <si>
    <t>Ariba</t>
  </si>
  <si>
    <t>i2</t>
  </si>
  <si>
    <t>Peregrine</t>
  </si>
  <si>
    <t>Ask Jeeves</t>
  </si>
  <si>
    <t>Cognos</t>
  </si>
  <si>
    <t>Business Objects</t>
  </si>
  <si>
    <t>Akami</t>
  </si>
  <si>
    <t>Teamviewer</t>
  </si>
  <si>
    <t>Legato</t>
  </si>
  <si>
    <t>Concur</t>
  </si>
  <si>
    <t>McAfee</t>
  </si>
  <si>
    <t>Real Networks</t>
  </si>
  <si>
    <t>Mulesoft</t>
  </si>
  <si>
    <t>Veritas</t>
  </si>
  <si>
    <t>Macromedia</t>
  </si>
  <si>
    <t>Netcompany</t>
  </si>
  <si>
    <t>SoftImage</t>
  </si>
  <si>
    <t>Capcom</t>
  </si>
  <si>
    <t>Tyler</t>
  </si>
  <si>
    <t>LinkedIn</t>
  </si>
  <si>
    <t>Zynga</t>
  </si>
  <si>
    <t>Healtheon/WebMD</t>
  </si>
  <si>
    <t>Altavista</t>
  </si>
  <si>
    <t>Compuware</t>
  </si>
  <si>
    <t>Broadvision</t>
  </si>
  <si>
    <t>BroadSoft</t>
  </si>
  <si>
    <t>Iona</t>
  </si>
  <si>
    <t>Sterling</t>
  </si>
  <si>
    <t>Tieto</t>
  </si>
  <si>
    <t>Unisys</t>
  </si>
  <si>
    <t>Geocities</t>
  </si>
  <si>
    <t>Software AG</t>
  </si>
  <si>
    <t>Epiphany</t>
  </si>
  <si>
    <t>Infospace</t>
  </si>
  <si>
    <t>Microprose</t>
  </si>
  <si>
    <t>aQuantive</t>
  </si>
  <si>
    <t>DoubleClick</t>
  </si>
  <si>
    <t>Great Plains</t>
  </si>
  <si>
    <t>Pegasystems</t>
  </si>
  <si>
    <t>Digital Insight</t>
  </si>
  <si>
    <t>Jack Henry</t>
  </si>
  <si>
    <t>Blue Coat</t>
  </si>
  <si>
    <t>Websense</t>
  </si>
  <si>
    <t>Webmethods</t>
  </si>
  <si>
    <t>Hyperion</t>
  </si>
  <si>
    <t>Quest</t>
  </si>
  <si>
    <t>SPSS</t>
  </si>
  <si>
    <t>MetaSolv</t>
  </si>
  <si>
    <t>Delrina</t>
  </si>
  <si>
    <t>Kana</t>
  </si>
  <si>
    <t>Webex</t>
  </si>
  <si>
    <t>Peachtree</t>
  </si>
  <si>
    <t>SAS</t>
  </si>
  <si>
    <t>CMGI</t>
  </si>
  <si>
    <t>Internet Capital Group</t>
  </si>
  <si>
    <t>Inktomi</t>
  </si>
  <si>
    <t>JD Edwards</t>
  </si>
  <si>
    <t>Certicom</t>
  </si>
  <si>
    <t>RSA</t>
  </si>
  <si>
    <t>Liveperson</t>
  </si>
  <si>
    <t>Stamps.com</t>
  </si>
  <si>
    <t>Audible</t>
  </si>
  <si>
    <t>Documentum</t>
  </si>
  <si>
    <t>Ultimate Software</t>
  </si>
  <si>
    <t>Damgaard Data</t>
  </si>
  <si>
    <t>Digital River</t>
  </si>
  <si>
    <t>Commerce One</t>
  </si>
  <si>
    <t>FreeMarkets</t>
  </si>
  <si>
    <t>Lavasoft</t>
  </si>
  <si>
    <t>Omniture</t>
  </si>
  <si>
    <t>Magic Software</t>
  </si>
  <si>
    <t>Claris</t>
  </si>
  <si>
    <t>Accelrys</t>
  </si>
  <si>
    <t>Medidata</t>
  </si>
  <si>
    <t>VisiCorp</t>
  </si>
  <si>
    <t>Agile</t>
  </si>
  <si>
    <t>Thoughtworks</t>
  </si>
  <si>
    <t>Tivoli</t>
  </si>
  <si>
    <t>Brio</t>
  </si>
  <si>
    <t>Candle Corporation</t>
  </si>
  <si>
    <t>Netserv</t>
  </si>
  <si>
    <t>ClickSoftware</t>
  </si>
  <si>
    <t>Pivotal</t>
  </si>
  <si>
    <t>Comverse</t>
  </si>
  <si>
    <t>WordPerfect</t>
  </si>
  <si>
    <t>Ashton-Tate</t>
  </si>
  <si>
    <t>Digital Research</t>
  </si>
  <si>
    <t>Aldus</t>
  </si>
  <si>
    <t>Micropro</t>
  </si>
  <si>
    <t>Sierra On-Line</t>
  </si>
  <si>
    <t>Micro Focus</t>
  </si>
  <si>
    <t>Paradox</t>
  </si>
  <si>
    <t>Inprise</t>
  </si>
  <si>
    <t>Amdahl</t>
  </si>
  <si>
    <t>Santa Cruz</t>
  </si>
  <si>
    <t>Quark</t>
  </si>
  <si>
    <t>Voyetra</t>
  </si>
  <si>
    <t>Infocom</t>
  </si>
  <si>
    <t>Broderbund</t>
  </si>
  <si>
    <t>Tandem Computers</t>
  </si>
  <si>
    <t>Acquired by Novell for $1.8B in stock.</t>
  </si>
  <si>
    <t>Yahoo</t>
  </si>
  <si>
    <t>EDS</t>
  </si>
  <si>
    <t>Acquired by Borland.</t>
  </si>
  <si>
    <t>Azure</t>
  </si>
  <si>
    <t>GCP+YouTube</t>
  </si>
  <si>
    <t>IBM acquires Red Hat for $34B.</t>
  </si>
  <si>
    <t>IBM acquired HashiCorp for $6.4 billion.</t>
  </si>
  <si>
    <t>AOL acquires Netscape for $4.2B.</t>
  </si>
  <si>
    <t>SAP acquires Ariba for $4.3B.</t>
  </si>
  <si>
    <t>Broadcom acquires VMWare for $69B.</t>
  </si>
  <si>
    <t>Broadcom</t>
  </si>
  <si>
    <t>Q325</t>
  </si>
  <si>
    <t>YTD</t>
  </si>
  <si>
    <t>S&amp;P</t>
  </si>
  <si>
    <t>Q126</t>
  </si>
  <si>
    <t>GOOGL</t>
  </si>
  <si>
    <t>Knowledge Atlas</t>
  </si>
  <si>
    <t>2513 HK</t>
  </si>
  <si>
    <t>Nebius</t>
  </si>
  <si>
    <t>NBIS</t>
  </si>
  <si>
    <t>Coreweave</t>
  </si>
  <si>
    <t>CRWV</t>
  </si>
  <si>
    <t>Konami</t>
  </si>
  <si>
    <t>9766 JP</t>
  </si>
  <si>
    <t>FIG</t>
  </si>
  <si>
    <t>9697 JP</t>
  </si>
  <si>
    <t>Square Enix</t>
  </si>
  <si>
    <t>9684 JP</t>
  </si>
  <si>
    <t>DOX</t>
  </si>
  <si>
    <t>Morningstar</t>
  </si>
  <si>
    <t>MORN</t>
  </si>
  <si>
    <t>CDR PW</t>
  </si>
  <si>
    <t>TTAN</t>
  </si>
  <si>
    <t>FDS</t>
  </si>
  <si>
    <t>Applied Digital</t>
  </si>
  <si>
    <t>APLD</t>
  </si>
  <si>
    <t>Thomson Reuters</t>
  </si>
  <si>
    <t>TRI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</si>
</sst>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\x"/>
    <numFmt numFmtId="165" formatCode="[$¥-411]#,##0"/>
    <numFmt numFmtId="166" formatCode="0.0%"/>
    <numFmt numFmtId="167" formatCode="[$HK$-C04]#,##0.00"/>
    <numFmt numFmtId="168" formatCode="0.0\x"/>
  </numFmts>
  <fonts count="3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18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strike/>
      <sz val="10"/>
      <color theme="1"/>
      <name val="Arial"/>
      <family val="2"/>
    </font>
    <font>
      <i/>
      <strike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142">
    <xf numFmtId="0" fontId="0" fillId="0" borderId="0" xfId="0"/>
    <xf numFmtId="0" fontId="29" fillId="0" borderId="0" xfId="0" applyFont="1"/>
    <xf numFmtId="2" fontId="29" fillId="0" borderId="0" xfId="0" applyNumberFormat="1" applyFont="1" applyAlignment="1">
      <alignment horizontal="right"/>
    </xf>
    <xf numFmtId="3" fontId="29" fillId="0" borderId="0" xfId="0" applyNumberFormat="1" applyFont="1" applyAlignment="1">
      <alignment horizontal="right"/>
    </xf>
    <xf numFmtId="0" fontId="31" fillId="0" borderId="0" xfId="1" applyFont="1"/>
    <xf numFmtId="0" fontId="28" fillId="0" borderId="0" xfId="0" applyFont="1"/>
    <xf numFmtId="3" fontId="28" fillId="0" borderId="0" xfId="0" applyNumberFormat="1" applyFont="1" applyAlignment="1">
      <alignment horizontal="right"/>
    </xf>
    <xf numFmtId="0" fontId="27" fillId="0" borderId="0" xfId="0" applyFont="1"/>
    <xf numFmtId="3" fontId="32" fillId="0" borderId="0" xfId="0" applyNumberFormat="1" applyFont="1" applyAlignment="1">
      <alignment horizontal="right"/>
    </xf>
    <xf numFmtId="0" fontId="26" fillId="0" borderId="0" xfId="0" applyFont="1"/>
    <xf numFmtId="0" fontId="25" fillId="0" borderId="0" xfId="0" applyFont="1"/>
    <xf numFmtId="0" fontId="24" fillId="0" borderId="0" xfId="0" applyFont="1"/>
    <xf numFmtId="2" fontId="24" fillId="0" borderId="0" xfId="0" applyNumberFormat="1" applyFont="1" applyAlignment="1">
      <alignment horizontal="right"/>
    </xf>
    <xf numFmtId="3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23" fillId="0" borderId="0" xfId="0" applyFont="1"/>
    <xf numFmtId="0" fontId="22" fillId="0" borderId="0" xfId="0" applyFont="1"/>
    <xf numFmtId="3" fontId="26" fillId="0" borderId="0" xfId="0" applyNumberFormat="1" applyFont="1"/>
    <xf numFmtId="0" fontId="21" fillId="0" borderId="0" xfId="0" applyFont="1"/>
    <xf numFmtId="3" fontId="32" fillId="0" borderId="0" xfId="0" applyNumberFormat="1" applyFont="1"/>
    <xf numFmtId="4" fontId="32" fillId="0" borderId="0" xfId="0" applyNumberFormat="1" applyFont="1" applyAlignment="1">
      <alignment horizontal="right"/>
    </xf>
    <xf numFmtId="0" fontId="33" fillId="0" borderId="0" xfId="0" applyFont="1"/>
    <xf numFmtId="14" fontId="26" fillId="0" borderId="0" xfId="0" applyNumberFormat="1" applyFont="1"/>
    <xf numFmtId="3" fontId="20" fillId="0" borderId="0" xfId="0" applyNumberFormat="1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34" fillId="0" borderId="0" xfId="0" applyFont="1"/>
    <xf numFmtId="0" fontId="35" fillId="0" borderId="0" xfId="1" applyFont="1"/>
    <xf numFmtId="0" fontId="31" fillId="0" borderId="1" xfId="1" applyFont="1" applyBorder="1"/>
    <xf numFmtId="0" fontId="24" fillId="0" borderId="1" xfId="0" applyFont="1" applyBorder="1"/>
    <xf numFmtId="0" fontId="17" fillId="0" borderId="0" xfId="0" applyFont="1"/>
    <xf numFmtId="0" fontId="16" fillId="0" borderId="0" xfId="0" applyFont="1"/>
    <xf numFmtId="0" fontId="31" fillId="0" borderId="0" xfId="1" applyFont="1" applyBorder="1"/>
    <xf numFmtId="0" fontId="15" fillId="0" borderId="0" xfId="0" applyFont="1" applyAlignment="1">
      <alignment horizontal="right"/>
    </xf>
    <xf numFmtId="0" fontId="14" fillId="0" borderId="0" xfId="0" applyFont="1"/>
    <xf numFmtId="0" fontId="13" fillId="0" borderId="0" xfId="0" applyFont="1"/>
    <xf numFmtId="3" fontId="36" fillId="0" borderId="0" xfId="0" applyNumberFormat="1" applyFont="1"/>
    <xf numFmtId="4" fontId="37" fillId="0" borderId="0" xfId="0" applyNumberFormat="1" applyFont="1" applyAlignment="1">
      <alignment horizontal="right"/>
    </xf>
    <xf numFmtId="3" fontId="36" fillId="0" borderId="0" xfId="0" applyNumberFormat="1" applyFont="1" applyAlignment="1">
      <alignment horizontal="right"/>
    </xf>
    <xf numFmtId="0" fontId="12" fillId="0" borderId="0" xfId="0" applyFont="1"/>
    <xf numFmtId="3" fontId="12" fillId="0" borderId="0" xfId="0" applyNumberFormat="1" applyFont="1"/>
    <xf numFmtId="0" fontId="11" fillId="0" borderId="0" xfId="0" applyFont="1"/>
    <xf numFmtId="3" fontId="11" fillId="0" borderId="0" xfId="0" applyNumberFormat="1" applyFont="1"/>
    <xf numFmtId="3" fontId="31" fillId="0" borderId="0" xfId="1" applyNumberFormat="1" applyFont="1"/>
    <xf numFmtId="0" fontId="10" fillId="0" borderId="0" xfId="0" applyFont="1"/>
    <xf numFmtId="0" fontId="34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" fontId="2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2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2" fontId="2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2" fillId="0" borderId="0" xfId="0" applyNumberFormat="1" applyFont="1" applyAlignment="1">
      <alignment horizontal="right"/>
    </xf>
    <xf numFmtId="2" fontId="33" fillId="0" borderId="0" xfId="0" applyNumberFormat="1" applyFont="1" applyAlignment="1">
      <alignment horizontal="right"/>
    </xf>
    <xf numFmtId="3" fontId="33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164" fontId="33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14" fontId="1" fillId="0" borderId="0" xfId="0" applyNumberFormat="1" applyFont="1" applyAlignment="1">
      <alignment horizontal="right"/>
    </xf>
    <xf numFmtId="3" fontId="33" fillId="0" borderId="0" xfId="0" applyNumberFormat="1" applyFont="1"/>
    <xf numFmtId="3" fontId="1" fillId="0" borderId="0" xfId="0" applyNumberFormat="1" applyFont="1"/>
    <xf numFmtId="9" fontId="33" fillId="0" borderId="0" xfId="0" applyNumberFormat="1" applyFont="1"/>
    <xf numFmtId="166" fontId="33" fillId="0" borderId="0" xfId="0" applyNumberFormat="1" applyFont="1"/>
    <xf numFmtId="0" fontId="1" fillId="2" borderId="0" xfId="0" applyFont="1" applyFill="1"/>
    <xf numFmtId="3" fontId="12" fillId="2" borderId="0" xfId="0" applyNumberFormat="1" applyFont="1" applyFill="1"/>
    <xf numFmtId="0" fontId="12" fillId="2" borderId="0" xfId="0" applyFont="1" applyFill="1"/>
    <xf numFmtId="3" fontId="11" fillId="2" borderId="0" xfId="0" applyNumberFormat="1" applyFont="1" applyFill="1"/>
    <xf numFmtId="3" fontId="1" fillId="2" borderId="0" xfId="0" applyNumberFormat="1" applyFont="1" applyFill="1"/>
    <xf numFmtId="14" fontId="3" fillId="0" borderId="0" xfId="0" applyNumberFormat="1" applyFont="1"/>
    <xf numFmtId="9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3" fillId="0" borderId="0" xfId="0" applyNumberFormat="1" applyFont="1" applyAlignment="1">
      <alignment horizontal="center"/>
    </xf>
    <xf numFmtId="164" fontId="33" fillId="0" borderId="2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2" fontId="1" fillId="0" borderId="4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6" xfId="0" applyFont="1" applyBorder="1"/>
    <xf numFmtId="2" fontId="1" fillId="0" borderId="6" xfId="0" applyNumberFormat="1" applyFont="1" applyBorder="1" applyAlignment="1">
      <alignment horizontal="right"/>
    </xf>
    <xf numFmtId="3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14" fontId="1" fillId="0" borderId="0" xfId="0" applyNumberFormat="1" applyFont="1"/>
    <xf numFmtId="4" fontId="1" fillId="0" borderId="0" xfId="0" applyNumberFormat="1" applyFont="1"/>
    <xf numFmtId="0" fontId="1" fillId="0" borderId="5" xfId="0" applyFont="1" applyBorder="1"/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165" fontId="1" fillId="0" borderId="0" xfId="0" applyNumberFormat="1" applyFont="1" applyAlignment="1">
      <alignment horizontal="right"/>
    </xf>
    <xf numFmtId="168" fontId="1" fillId="0" borderId="0" xfId="0" applyNumberFormat="1" applyFont="1"/>
    <xf numFmtId="0" fontId="1" fillId="0" borderId="0" xfId="0" quotePrefix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06D2300-39C7-400B-8CBC-8FACFEDD77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68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85" Type="http://schemas.openxmlformats.org/officeDocument/2006/relationships/externalLink" Target="externalLinks/externalLink6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67.xml"/><Relationship Id="rId88" Type="http://schemas.openxmlformats.org/officeDocument/2006/relationships/theme" Target="theme/theme1.xml"/><Relationship Id="rId9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65.xml"/><Relationship Id="rId86" Type="http://schemas.openxmlformats.org/officeDocument/2006/relationships/externalLink" Target="externalLinks/externalLink7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36763</xdr:colOff>
      <xdr:row>0</xdr:row>
      <xdr:rowOff>56816</xdr:rowOff>
    </xdr:from>
    <xdr:to>
      <xdr:col>40</xdr:col>
      <xdr:colOff>36763</xdr:colOff>
      <xdr:row>220</xdr:row>
      <xdr:rowOff>30655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CA9BC7F-C992-057F-34F1-BC59D1E11A10}"/>
            </a:ext>
          </a:extLst>
        </xdr:cNvPr>
        <xdr:cNvCxnSpPr/>
      </xdr:nvCxnSpPr>
      <xdr:spPr>
        <a:xfrm>
          <a:off x="23360970" y="56816"/>
          <a:ext cx="0" cy="315399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ZN.xlsx" TargetMode="External"/><Relationship Id="rId1" Type="http://schemas.openxmlformats.org/officeDocument/2006/relationships/externalLinkPath" Target="AMZ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RCL.xlsx" TargetMode="External"/><Relationship Id="rId1" Type="http://schemas.openxmlformats.org/officeDocument/2006/relationships/externalLinkPath" Target="ORC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LTR.xlsx" TargetMode="External"/><Relationship Id="rId1" Type="http://schemas.openxmlformats.org/officeDocument/2006/relationships/externalLinkPath" Target="PLT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AP.xlsx" TargetMode="External"/><Relationship Id="rId1" Type="http://schemas.openxmlformats.org/officeDocument/2006/relationships/externalLinkPath" Target="S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BM.xlsx" TargetMode="External"/><Relationship Id="rId1" Type="http://schemas.openxmlformats.org/officeDocument/2006/relationships/externalLinkPath" Target="IBM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M.xlsx" TargetMode="External"/><Relationship Id="rId1" Type="http://schemas.openxmlformats.org/officeDocument/2006/relationships/externalLinkPath" Target="CRM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OW.xlsx" TargetMode="External"/><Relationship Id="rId1" Type="http://schemas.openxmlformats.org/officeDocument/2006/relationships/externalLinkPath" Target="NOW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NOW.xlsx" TargetMode="External"/><Relationship Id="rId1" Type="http://schemas.openxmlformats.org/officeDocument/2006/relationships/externalLinkPath" Target="SNOW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WDAY.xlsx" TargetMode="External"/><Relationship Id="rId1" Type="http://schemas.openxmlformats.org/officeDocument/2006/relationships/externalLinkPath" Target="WDA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AM.xlsx" TargetMode="External"/><Relationship Id="rId1" Type="http://schemas.openxmlformats.org/officeDocument/2006/relationships/externalLinkPath" Target="TEAM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DOG.xlsx" TargetMode="External"/><Relationship Id="rId1" Type="http://schemas.openxmlformats.org/officeDocument/2006/relationships/externalLinkPath" Target="DDOG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EEV.xlsx" TargetMode="External"/><Relationship Id="rId1" Type="http://schemas.openxmlformats.org/officeDocument/2006/relationships/externalLinkPath" Target="VEEV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UBS.xlsx" TargetMode="External"/><Relationship Id="rId1" Type="http://schemas.openxmlformats.org/officeDocument/2006/relationships/externalLinkPath" Target="HUB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DB.xlsx" TargetMode="External"/><Relationship Id="rId1" Type="http://schemas.openxmlformats.org/officeDocument/2006/relationships/externalLinkPath" Target="MDB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KAM.xlsx" TargetMode="External"/><Relationship Id="rId1" Type="http://schemas.openxmlformats.org/officeDocument/2006/relationships/externalLinkPath" Target="AKAM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KTA.xlsx" TargetMode="External"/><Relationship Id="rId1" Type="http://schemas.openxmlformats.org/officeDocument/2006/relationships/externalLinkPath" Target="OKTA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ZM.xlsx" TargetMode="External"/><Relationship Id="rId1" Type="http://schemas.openxmlformats.org/officeDocument/2006/relationships/externalLinkPath" Target="ZM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FLT.xlsx" TargetMode="External"/><Relationship Id="rId1" Type="http://schemas.openxmlformats.org/officeDocument/2006/relationships/externalLinkPath" Target="CFLT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RZE.xlsx" TargetMode="External"/><Relationship Id="rId1" Type="http://schemas.openxmlformats.org/officeDocument/2006/relationships/externalLinkPath" Target="BRZ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RSH.xlsx" TargetMode="External"/><Relationship Id="rId1" Type="http://schemas.openxmlformats.org/officeDocument/2006/relationships/externalLinkPath" Target="FRSH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IVN.xlsx" TargetMode="External"/><Relationship Id="rId1" Type="http://schemas.openxmlformats.org/officeDocument/2006/relationships/externalLinkPath" Target="FIV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SLY.xlsx" TargetMode="External"/><Relationship Id="rId1" Type="http://schemas.openxmlformats.org/officeDocument/2006/relationships/externalLinkPath" Target="FSL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QXO.xlsx" TargetMode="External"/><Relationship Id="rId1" Type="http://schemas.openxmlformats.org/officeDocument/2006/relationships/externalLinkPath" Target="QXO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OUN.xlsx" TargetMode="External"/><Relationship Id="rId1" Type="http://schemas.openxmlformats.org/officeDocument/2006/relationships/externalLinkPath" Target="SOU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ZETA.xlsx" TargetMode="External"/><Relationship Id="rId1" Type="http://schemas.openxmlformats.org/officeDocument/2006/relationships/externalLinkPath" Target="ZETA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TVI.xlsx" TargetMode="External"/><Relationship Id="rId1" Type="http://schemas.openxmlformats.org/officeDocument/2006/relationships/externalLinkPath" Target="ATVI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OOG.xlsx" TargetMode="External"/><Relationship Id="rId1" Type="http://schemas.openxmlformats.org/officeDocument/2006/relationships/externalLinkPath" Target="GOOG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SFT.xlsx" TargetMode="External"/><Relationship Id="rId1" Type="http://schemas.openxmlformats.org/officeDocument/2006/relationships/externalLinkPath" Target="MSFT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PP.xlsx" TargetMode="External"/><Relationship Id="rId1" Type="http://schemas.openxmlformats.org/officeDocument/2006/relationships/externalLinkPath" Target="AP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SU%20CN.xlsx" TargetMode="External"/><Relationship Id="rId1" Type="http://schemas.openxmlformats.org/officeDocument/2006/relationships/externalLinkPath" Target="CSU%20C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TD.xlsx" TargetMode="External"/><Relationship Id="rId1" Type="http://schemas.openxmlformats.org/officeDocument/2006/relationships/externalLinkPath" Target="TT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IDU.xlsx" TargetMode="External"/><Relationship Id="rId1" Type="http://schemas.openxmlformats.org/officeDocument/2006/relationships/externalLinkPath" Target="BIDU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PRA.xlsx" TargetMode="External"/><Relationship Id="rId1" Type="http://schemas.openxmlformats.org/officeDocument/2006/relationships/externalLinkPath" Target="OPRA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B.xlsx" TargetMode="External"/><Relationship Id="rId1" Type="http://schemas.openxmlformats.org/officeDocument/2006/relationships/externalLinkPath" Target="FB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700%20HK.xlsx" TargetMode="External"/><Relationship Id="rId1" Type="http://schemas.openxmlformats.org/officeDocument/2006/relationships/externalLinkPath" Target="700%20HK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NAP.xlsx" TargetMode="External"/><Relationship Id="rId1" Type="http://schemas.openxmlformats.org/officeDocument/2006/relationships/externalLinkPath" Target="SNAP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BLX.xlsx" TargetMode="External"/><Relationship Id="rId1" Type="http://schemas.openxmlformats.org/officeDocument/2006/relationships/externalLinkPath" Target="RBLX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DDT.xlsx" TargetMode="External"/><Relationship Id="rId1" Type="http://schemas.openxmlformats.org/officeDocument/2006/relationships/externalLinkPath" Target="RDDT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RND.xlsx" TargetMode="External"/><Relationship Id="rId1" Type="http://schemas.openxmlformats.org/officeDocument/2006/relationships/externalLinkPath" Target="GRND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B.xlsx" TargetMode="External"/><Relationship Id="rId1" Type="http://schemas.openxmlformats.org/officeDocument/2006/relationships/externalLinkPath" Target="EB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SNP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DSY%20FP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DNS.xlsx" TargetMode="External"/><Relationship Id="rId1" Type="http://schemas.openxmlformats.org/officeDocument/2006/relationships/externalLinkPath" Target="CDNS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ADSK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ANSS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EXA.xlsx" TargetMode="External"/><Relationship Id="rId1" Type="http://schemas.openxmlformats.org/officeDocument/2006/relationships/externalLinkPath" Target="HEXA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DBE.xlsx" TargetMode="External"/><Relationship Id="rId1" Type="http://schemas.openxmlformats.org/officeDocument/2006/relationships/externalLinkPath" Target="ADBE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ONY.xlsx" TargetMode="External"/><Relationship Id="rId1" Type="http://schemas.openxmlformats.org/officeDocument/2006/relationships/externalLinkPath" Target="SONY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A.xlsx" TargetMode="External"/><Relationship Id="rId1" Type="http://schemas.openxmlformats.org/officeDocument/2006/relationships/externalLinkPath" Target="EA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VO%20ST.xlsx" TargetMode="External"/><Relationship Id="rId1" Type="http://schemas.openxmlformats.org/officeDocument/2006/relationships/externalLinkPath" Target="EVO%20ST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TWO.xlsx" TargetMode="External"/><Relationship Id="rId1" Type="http://schemas.openxmlformats.org/officeDocument/2006/relationships/externalLinkPath" Target="TTWO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SPOT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WBTN.xlsx" TargetMode="External"/><Relationship Id="rId1" Type="http://schemas.openxmlformats.org/officeDocument/2006/relationships/externalLinkPath" Target="WBTN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.xlsx" TargetMode="External"/><Relationship Id="rId1" Type="http://schemas.openxmlformats.org/officeDocument/2006/relationships/externalLinkPath" Target="V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A.xlsx" TargetMode="External"/><Relationship Id="rId1" Type="http://schemas.openxmlformats.org/officeDocument/2006/relationships/externalLinkPath" Target="MA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TU.xlsx" TargetMode="External"/><Relationship Id="rId1" Type="http://schemas.openxmlformats.org/officeDocument/2006/relationships/externalLinkPath" Target="INTU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PGI.xlsx" TargetMode="External"/><Relationship Id="rId1" Type="http://schemas.openxmlformats.org/officeDocument/2006/relationships/externalLinkPath" Target="SPGI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YPL.xlsx" TargetMode="External"/><Relationship Id="rId1" Type="http://schemas.openxmlformats.org/officeDocument/2006/relationships/externalLinkPath" Target="PYPL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OOD.xlsx" TargetMode="External"/><Relationship Id="rId1" Type="http://schemas.openxmlformats.org/officeDocument/2006/relationships/externalLinkPath" Target="HOOD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HOP.xlsx" TargetMode="External"/><Relationship Id="rId1" Type="http://schemas.openxmlformats.org/officeDocument/2006/relationships/externalLinkPath" Target="SHOP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UBER.xlsx" TargetMode="External"/><Relationship Id="rId1" Type="http://schemas.openxmlformats.org/officeDocument/2006/relationships/externalLinkPath" Target="UBER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BA.xlsx" TargetMode="External"/><Relationship Id="rId1" Type="http://schemas.openxmlformats.org/officeDocument/2006/relationships/externalLinkPath" Target="BABA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NB.xlsx" TargetMode="External"/><Relationship Id="rId1" Type="http://schemas.openxmlformats.org/officeDocument/2006/relationships/externalLinkPath" Target="ABNB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PNG.xlsx" TargetMode="External"/><Relationship Id="rId1" Type="http://schemas.openxmlformats.org/officeDocument/2006/relationships/externalLinkPath" Target="CPNG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DFN.xlsx" TargetMode="External"/><Relationship Id="rId1" Type="http://schemas.openxmlformats.org/officeDocument/2006/relationships/externalLinkPath" Target="RDFN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HGG.xlsx" TargetMode="External"/><Relationship Id="rId1" Type="http://schemas.openxmlformats.org/officeDocument/2006/relationships/externalLinkPath" Target="CHGG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RDY.xlsx" TargetMode="External"/><Relationship Id="rId1" Type="http://schemas.openxmlformats.org/officeDocument/2006/relationships/externalLinkPath" Target="NRDY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WD.xlsx" TargetMode="External"/><Relationship Id="rId1" Type="http://schemas.openxmlformats.org/officeDocument/2006/relationships/externalLinkPath" Target="CRWD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ET.xlsx" TargetMode="External"/><Relationship Id="rId1" Type="http://schemas.openxmlformats.org/officeDocument/2006/relationships/externalLinkPath" Target="NET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ZS.xlsx" TargetMode="External"/><Relationship Id="rId1" Type="http://schemas.openxmlformats.org/officeDocument/2006/relationships/externalLinkPath" Target="ZS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.xlsx" TargetMode="External"/><Relationship Id="rId1" Type="http://schemas.openxmlformats.org/officeDocument/2006/relationships/externalLinkPath" Target="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10806</v>
          </cell>
        </row>
        <row r="5">
          <cell r="K5">
            <v>93180</v>
          </cell>
        </row>
        <row r="6">
          <cell r="K6">
            <v>50718</v>
          </cell>
        </row>
      </sheetData>
      <sheetData sheetId="1">
        <row r="33">
          <cell r="BO33">
            <v>20.146000000000001</v>
          </cell>
          <cell r="BP33">
            <v>23.014895729890764</v>
          </cell>
          <cell r="BQ33">
            <v>41.825490196078434</v>
          </cell>
          <cell r="BR33">
            <v>6.1676679914964412</v>
          </cell>
        </row>
        <row r="45">
          <cell r="BZ45">
            <v>0.302776543093009</v>
          </cell>
        </row>
        <row r="47">
          <cell r="BZ47">
            <v>400778.14039390185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G3">
            <v>2909</v>
          </cell>
        </row>
        <row r="5">
          <cell r="G5">
            <v>11005</v>
          </cell>
        </row>
        <row r="6">
          <cell r="G6">
            <v>91315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2571</v>
          </cell>
        </row>
        <row r="5">
          <cell r="L5">
            <v>6438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1164</v>
          </cell>
        </row>
        <row r="5">
          <cell r="L5">
            <v>20956</v>
          </cell>
        </row>
        <row r="6">
          <cell r="L6">
            <v>9121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920</v>
          </cell>
        </row>
        <row r="5">
          <cell r="M5">
            <v>17799</v>
          </cell>
        </row>
        <row r="6">
          <cell r="M6">
            <v>56531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962</v>
          </cell>
        </row>
        <row r="5">
          <cell r="M5">
            <v>20457</v>
          </cell>
        </row>
        <row r="6">
          <cell r="M6">
            <v>8436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208</v>
          </cell>
        </row>
        <row r="5">
          <cell r="L5">
            <v>8885</v>
          </cell>
        </row>
        <row r="6">
          <cell r="L6">
            <v>1488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331</v>
          </cell>
        </row>
        <row r="5">
          <cell r="M5">
            <v>5027.4579999999996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270</v>
          </cell>
        </row>
        <row r="5">
          <cell r="P5">
            <v>7970</v>
          </cell>
        </row>
        <row r="6">
          <cell r="P6">
            <v>2985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260</v>
          </cell>
        </row>
        <row r="5">
          <cell r="L5">
            <v>2562</v>
          </cell>
        </row>
        <row r="6">
          <cell r="L6">
            <v>986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337.15227500000003</v>
          </cell>
        </row>
        <row r="5">
          <cell r="O5">
            <v>1707</v>
          </cell>
        </row>
        <row r="6">
          <cell r="O6">
            <v>737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154.847005</v>
          </cell>
        </row>
        <row r="5">
          <cell r="M5">
            <v>2838.5529999999999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51.348838000000001</v>
          </cell>
        </row>
        <row r="5">
          <cell r="K5">
            <v>1945.6969999999999</v>
          </cell>
        </row>
        <row r="6">
          <cell r="K6">
            <v>457.19600000000003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74</v>
          </cell>
        </row>
        <row r="5">
          <cell r="J5">
            <v>2302</v>
          </cell>
        </row>
        <row r="6">
          <cell r="J6">
            <v>1125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150.31753599999999</v>
          </cell>
        </row>
        <row r="5">
          <cell r="K5">
            <v>1872.1750000000002</v>
          </cell>
        </row>
        <row r="6">
          <cell r="K6">
            <v>3545.8110000000001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169.862056</v>
          </cell>
        </row>
        <row r="5">
          <cell r="K5">
            <v>2358</v>
          </cell>
        </row>
        <row r="6">
          <cell r="K6">
            <v>1113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307.78921500000001</v>
          </cell>
        </row>
        <row r="5">
          <cell r="J5">
            <v>7958.5609999999997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322.723499</v>
          </cell>
        </row>
        <row r="5">
          <cell r="J5">
            <v>1931.181</v>
          </cell>
        </row>
        <row r="6">
          <cell r="J6">
            <v>1090.2190000000001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101.626785</v>
          </cell>
        </row>
        <row r="5">
          <cell r="M5">
            <v>487.66099999999994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H3">
            <v>302.09080399999999</v>
          </cell>
        </row>
        <row r="5">
          <cell r="H5">
            <v>1019.114</v>
          </cell>
        </row>
        <row r="6">
          <cell r="H6">
            <v>0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73.316999999999993</v>
          </cell>
        </row>
        <row r="5">
          <cell r="K5">
            <v>730.29700000000003</v>
          </cell>
        </row>
        <row r="6">
          <cell r="K6">
            <v>742.125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140.30000000000001</v>
          </cell>
        </row>
        <row r="5">
          <cell r="M5">
            <v>308.24700000000001</v>
          </cell>
        </row>
        <row r="6">
          <cell r="M6">
            <v>344.49799999999999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409.43019500000003</v>
          </cell>
        </row>
        <row r="5">
          <cell r="J5">
            <v>5000</v>
          </cell>
        </row>
        <row r="6">
          <cell r="J6">
            <v>1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407.68629800000002</v>
          </cell>
        </row>
        <row r="5">
          <cell r="M5">
            <v>230.34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237.44796100000002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782.62531899999999</v>
          </cell>
        </row>
        <row r="5">
          <cell r="J5">
            <v>10688</v>
          </cell>
        </row>
        <row r="6">
          <cell r="J6">
            <v>3610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12203</v>
          </cell>
        </row>
        <row r="5">
          <cell r="L5">
            <v>162296</v>
          </cell>
        </row>
        <row r="6">
          <cell r="L6">
            <v>21607</v>
          </cell>
        </row>
      </sheetData>
      <sheetData sheetId="1">
        <row r="29">
          <cell r="AW29">
            <v>4.5799964361174039</v>
          </cell>
          <cell r="AX29">
            <v>5.8262287763546796</v>
          </cell>
        </row>
        <row r="34">
          <cell r="BM34">
            <v>0.02</v>
          </cell>
        </row>
        <row r="35">
          <cell r="BM35">
            <v>0.08</v>
          </cell>
        </row>
        <row r="36">
          <cell r="BM36">
            <v>0.03</v>
          </cell>
        </row>
        <row r="40">
          <cell r="BM40">
            <v>291.05683018228456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zure"/>
      <sheetName val="Productivity"/>
      <sheetName val="Personal Computing"/>
      <sheetName val="Legacy"/>
    </sheetNames>
    <sheetDataSet>
      <sheetData sheetId="0">
        <row r="3">
          <cell r="L3">
            <v>7445</v>
          </cell>
        </row>
        <row r="5">
          <cell r="L5">
            <v>111955</v>
          </cell>
        </row>
        <row r="6">
          <cell r="L6">
            <v>40262</v>
          </cell>
        </row>
      </sheetData>
      <sheetData sheetId="1">
        <row r="49">
          <cell r="BX49"/>
        </row>
        <row r="50">
          <cell r="BX50">
            <v>0.14932156232406713</v>
          </cell>
        </row>
        <row r="51">
          <cell r="BX51"/>
        </row>
      </sheetData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341</v>
          </cell>
        </row>
        <row r="5">
          <cell r="K5">
            <v>1667</v>
          </cell>
        </row>
        <row r="6">
          <cell r="K6">
            <v>3512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O3">
            <v>21.19153</v>
          </cell>
        </row>
        <row r="5">
          <cell r="O5">
            <v>811</v>
          </cell>
        </row>
        <row r="6">
          <cell r="O6">
            <v>1974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507</v>
          </cell>
        </row>
        <row r="5">
          <cell r="L5">
            <v>1921.489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2834</v>
          </cell>
        </row>
        <row r="5">
          <cell r="L5">
            <v>280691</v>
          </cell>
        </row>
        <row r="6">
          <cell r="L6">
            <v>74548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89.3</v>
          </cell>
        </row>
        <row r="5">
          <cell r="K5">
            <v>357.65600000000001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 refreshError="1">
        <row r="3">
          <cell r="M3">
            <v>2651.5486740000001</v>
          </cell>
        </row>
        <row r="5">
          <cell r="M5">
            <v>48304</v>
          </cell>
        </row>
        <row r="6">
          <cell r="M6">
            <v>9922</v>
          </cell>
        </row>
      </sheetData>
      <sheetData sheetId="1" refreshError="1">
        <row r="50">
          <cell r="AX50">
            <v>0.08</v>
          </cell>
        </row>
        <row r="51">
          <cell r="AX51">
            <v>-0.05</v>
          </cell>
        </row>
        <row r="52">
          <cell r="AX52">
            <v>0.02</v>
          </cell>
        </row>
      </sheetData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9097</v>
          </cell>
        </row>
        <row r="5">
          <cell r="L5">
            <v>74592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1663</v>
          </cell>
        </row>
        <row r="5">
          <cell r="L5">
            <v>3192.1289999999999</v>
          </cell>
        </row>
        <row r="6">
          <cell r="L6">
            <v>3641.328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712</v>
          </cell>
        </row>
        <row r="5">
          <cell r="L5">
            <v>6165</v>
          </cell>
        </row>
        <row r="6">
          <cell r="L6">
            <v>1008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165.87605400000001</v>
          </cell>
        </row>
        <row r="5">
          <cell r="J5">
            <v>591.05100000000004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175.99221399999999</v>
          </cell>
        </row>
        <row r="5">
          <cell r="K5">
            <v>57.238999999999997</v>
          </cell>
        </row>
        <row r="6">
          <cell r="K6">
            <v>297.69099999999997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96.101139999999987</v>
          </cell>
        </row>
        <row r="5">
          <cell r="K5">
            <v>632.197</v>
          </cell>
        </row>
        <row r="6">
          <cell r="K6">
            <v>673.72500000000002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N3">
            <v>152.970249</v>
          </cell>
        </row>
        <row r="5">
          <cell r="N5">
            <v>1720.521</v>
          </cell>
        </row>
        <row r="6">
          <cell r="N6">
            <v>23.774999999999999</v>
          </cell>
        </row>
      </sheetData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1322.7</v>
          </cell>
        </row>
        <row r="5">
          <cell r="L5">
            <v>3157</v>
          </cell>
        </row>
        <row r="6">
          <cell r="L6">
            <v>3642.4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273.82</v>
          </cell>
        </row>
        <row r="5">
          <cell r="K5">
            <v>1058.9549999999999</v>
          </cell>
        </row>
        <row r="6">
          <cell r="K6">
            <v>1348.6669999999999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217.27220500000001</v>
          </cell>
        </row>
        <row r="5">
          <cell r="L5">
            <v>1624</v>
          </cell>
        </row>
        <row r="6">
          <cell r="L6">
            <v>2629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M3">
            <v>87.068664999999996</v>
          </cell>
        </row>
        <row r="5">
          <cell r="M5">
            <v>517.63499999999999</v>
          </cell>
        </row>
        <row r="6">
          <cell r="M6">
            <v>753.40200000000004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2706.2939999999999</v>
          </cell>
        </row>
        <row r="5">
          <cell r="L5">
            <v>486.29999999999995</v>
          </cell>
        </row>
        <row r="6">
          <cell r="L6">
            <v>3842.6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N4">
            <v>448</v>
          </cell>
        </row>
        <row r="6">
          <cell r="N6">
            <v>7515</v>
          </cell>
        </row>
        <row r="7">
          <cell r="N7">
            <v>5627</v>
          </cell>
        </row>
      </sheetData>
      <sheetData sheetId="1">
        <row r="34">
          <cell r="AP34">
            <v>0.01</v>
          </cell>
        </row>
        <row r="35">
          <cell r="AP35">
            <v>0.03</v>
          </cell>
        </row>
        <row r="36">
          <cell r="AP36">
            <v>0.08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O4">
            <v>1238.413</v>
          </cell>
        </row>
        <row r="7">
          <cell r="O7">
            <v>1886413</v>
          </cell>
        </row>
        <row r="8">
          <cell r="O8">
            <v>1455438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264.19993099999999</v>
          </cell>
        </row>
        <row r="5">
          <cell r="N5">
            <v>2766</v>
          </cell>
        </row>
        <row r="6">
          <cell r="N6">
            <v>1882</v>
          </cell>
        </row>
      </sheetData>
      <sheetData sheetId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205.61045200000001</v>
          </cell>
        </row>
        <row r="5">
          <cell r="K5">
            <v>10661.288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176.49570600000001</v>
          </cell>
        </row>
        <row r="5">
          <cell r="I5">
            <v>1399.4</v>
          </cell>
        </row>
        <row r="6">
          <cell r="I6">
            <v>3657.9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K3">
            <v>197.07725600000001</v>
          </cell>
        </row>
        <row r="5">
          <cell r="K5">
            <v>4301</v>
          </cell>
        </row>
        <row r="6">
          <cell r="K6">
            <v>1146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130.81787600000001</v>
          </cell>
        </row>
        <row r="5">
          <cell r="L5">
            <v>585.51599999999996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2079</v>
          </cell>
        </row>
        <row r="5">
          <cell r="K5">
            <v>22986</v>
          </cell>
        </row>
        <row r="6">
          <cell r="K6">
            <v>25171</v>
          </cell>
        </row>
      </sheetData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904.01183700000001</v>
          </cell>
        </row>
        <row r="5">
          <cell r="J5">
            <v>9031</v>
          </cell>
        </row>
        <row r="6">
          <cell r="J6">
            <v>18970</v>
          </cell>
        </row>
      </sheetData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280</v>
          </cell>
        </row>
        <row r="5">
          <cell r="L5">
            <v>4205</v>
          </cell>
        </row>
        <row r="6">
          <cell r="L6">
            <v>6038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Q3">
            <v>307.8</v>
          </cell>
        </row>
        <row r="5">
          <cell r="Q5">
            <v>3460</v>
          </cell>
        </row>
        <row r="6">
          <cell r="Q6">
            <v>11398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1014</v>
          </cell>
        </row>
        <row r="5">
          <cell r="M5">
            <v>15406</v>
          </cell>
        </row>
        <row r="6">
          <cell r="M6">
            <v>9879</v>
          </cell>
        </row>
      </sheetData>
      <sheetData sheetId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okers"/>
    </sheetNames>
    <sheetDataSet>
      <sheetData sheetId="0">
        <row r="3">
          <cell r="L3">
            <v>884.55399999999997</v>
          </cell>
        </row>
        <row r="5">
          <cell r="L5">
            <v>7251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1294.8207339999999</v>
          </cell>
        </row>
        <row r="5">
          <cell r="M5">
            <v>11477</v>
          </cell>
        </row>
        <row r="6">
          <cell r="M6">
            <v>918</v>
          </cell>
        </row>
      </sheetData>
      <sheetData sheetId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2123</v>
          </cell>
        </row>
        <row r="5">
          <cell r="K5">
            <v>25949</v>
          </cell>
        </row>
        <row r="6">
          <cell r="K6">
            <v>8350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2449.375</v>
          </cell>
          <cell r="O3">
            <v>19595</v>
          </cell>
        </row>
        <row r="5">
          <cell r="O5">
            <v>1029873</v>
          </cell>
        </row>
        <row r="6">
          <cell r="O6">
            <v>207937</v>
          </cell>
        </row>
      </sheetData>
      <sheetData sheetId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633.17718300000001</v>
          </cell>
        </row>
        <row r="5">
          <cell r="L5">
            <v>9629.1059999999998</v>
          </cell>
        </row>
        <row r="6">
          <cell r="L6">
            <v>1985.6590000000001</v>
          </cell>
        </row>
      </sheetData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1798.8594939999998</v>
          </cell>
        </row>
        <row r="5">
          <cell r="L5">
            <v>5822</v>
          </cell>
        </row>
        <row r="6">
          <cell r="L6">
            <v>1216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108.748718</v>
          </cell>
        </row>
        <row r="5">
          <cell r="K5">
            <v>555.70900000000006</v>
          </cell>
        </row>
        <row r="6">
          <cell r="K6">
            <v>1719</v>
          </cell>
        </row>
      </sheetData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103.66987899999999</v>
          </cell>
        </row>
        <row r="5">
          <cell r="K5">
            <v>605.38900000000001</v>
          </cell>
        </row>
        <row r="6">
          <cell r="K6">
            <v>600.91700000000003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112.608847</v>
          </cell>
        </row>
        <row r="5">
          <cell r="J5">
            <v>69.837999999999994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247.87341499999999</v>
          </cell>
        </row>
        <row r="5">
          <cell r="I5">
            <v>4395.8389999999999</v>
          </cell>
        </row>
        <row r="6">
          <cell r="I6">
            <v>743.98299999999995</v>
          </cell>
        </row>
      </sheetData>
      <sheetData sheetId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341.70273399999996</v>
          </cell>
        </row>
        <row r="5">
          <cell r="N5">
            <v>1757.3970000000002</v>
          </cell>
        </row>
        <row r="6">
          <cell r="N6">
            <v>1285.3420000000001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153.43862300000001</v>
          </cell>
        </row>
        <row r="5">
          <cell r="K5">
            <v>2307.8969999999999</v>
          </cell>
        </row>
        <row r="6">
          <cell r="K6">
            <v>1145.799</v>
          </cell>
        </row>
      </sheetData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315.45776699999999</v>
          </cell>
        </row>
        <row r="5">
          <cell r="J5">
            <v>1123.8009999999999</v>
          </cell>
        </row>
        <row r="6">
          <cell r="J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4" dT="2025-11-08T01:03:38.08" personId="{00000000-0000-0000-0000-000000000000}" id="{6F0AC4C0-430B-434D-A174-2977DF16A895}">
    <text>72B total revenue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8" dT="2022-08-24T01:15:21.27" personId="{00000000-0000-0000-0000-000000000000}" id="{9A7BDD87-4728-4B2C-A2F9-F452DF1FAEF5}">
    <text>Series A with ARod, Thrive, Tiger, Marc Lore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TVI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TTD.xlsx" TargetMode="External"/><Relationship Id="rId3" Type="http://schemas.openxmlformats.org/officeDocument/2006/relationships/hyperlink" Target="CSU%20CN.xlsx" TargetMode="External"/><Relationship Id="rId7" Type="http://schemas.openxmlformats.org/officeDocument/2006/relationships/hyperlink" Target="APP.xlsx" TargetMode="External"/><Relationship Id="rId2" Type="http://schemas.openxmlformats.org/officeDocument/2006/relationships/hyperlink" Target="BIDU.xlsx" TargetMode="External"/><Relationship Id="rId1" Type="http://schemas.openxmlformats.org/officeDocument/2006/relationships/hyperlink" Target="GOOG.xlsx" TargetMode="External"/><Relationship Id="rId6" Type="http://schemas.openxmlformats.org/officeDocument/2006/relationships/hyperlink" Target="BIDU.xlsx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OPRA.xlsx" TargetMode="External"/><Relationship Id="rId10" Type="http://schemas.openxmlformats.org/officeDocument/2006/relationships/hyperlink" Target="9434%20JP.xlsx" TargetMode="External"/><Relationship Id="rId4" Type="http://schemas.openxmlformats.org/officeDocument/2006/relationships/hyperlink" Target="MSFT.xlsx" TargetMode="External"/><Relationship Id="rId9" Type="http://schemas.openxmlformats.org/officeDocument/2006/relationships/hyperlink" Target="9434%20JP.xls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OKTA.xlsx" TargetMode="External"/><Relationship Id="rId13" Type="http://schemas.openxmlformats.org/officeDocument/2006/relationships/hyperlink" Target="IBM.xlsx" TargetMode="External"/><Relationship Id="rId18" Type="http://schemas.openxmlformats.org/officeDocument/2006/relationships/hyperlink" Target="BRZE.xlsx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SAP.xlsx" TargetMode="External"/><Relationship Id="rId21" Type="http://schemas.openxmlformats.org/officeDocument/2006/relationships/hyperlink" Target="CFLT.xlsx" TargetMode="External"/><Relationship Id="rId7" Type="http://schemas.openxmlformats.org/officeDocument/2006/relationships/hyperlink" Target="SNOW.xlsx" TargetMode="External"/><Relationship Id="rId12" Type="http://schemas.openxmlformats.org/officeDocument/2006/relationships/hyperlink" Target="PLTR.xlsx" TargetMode="External"/><Relationship Id="rId17" Type="http://schemas.openxmlformats.org/officeDocument/2006/relationships/hyperlink" Target="QXO.xlsx" TargetMode="External"/><Relationship Id="rId25" Type="http://schemas.openxmlformats.org/officeDocument/2006/relationships/hyperlink" Target="AKAM.xlsx" TargetMode="External"/><Relationship Id="rId2" Type="http://schemas.openxmlformats.org/officeDocument/2006/relationships/hyperlink" Target="CRM.xlsx" TargetMode="External"/><Relationship Id="rId16" Type="http://schemas.openxmlformats.org/officeDocument/2006/relationships/hyperlink" Target="FRSH.xlsx" TargetMode="External"/><Relationship Id="rId20" Type="http://schemas.openxmlformats.org/officeDocument/2006/relationships/hyperlink" Target="SOUN.xlsx" TargetMode="External"/><Relationship Id="rId1" Type="http://schemas.openxmlformats.org/officeDocument/2006/relationships/hyperlink" Target="ORCL.xlsx" TargetMode="External"/><Relationship Id="rId6" Type="http://schemas.openxmlformats.org/officeDocument/2006/relationships/hyperlink" Target="WDAY.xlsx" TargetMode="External"/><Relationship Id="rId11" Type="http://schemas.openxmlformats.org/officeDocument/2006/relationships/hyperlink" Target="AMZN.xlsx" TargetMode="External"/><Relationship Id="rId24" Type="http://schemas.openxmlformats.org/officeDocument/2006/relationships/hyperlink" Target="FSLY.xlsx" TargetMode="External"/><Relationship Id="rId5" Type="http://schemas.openxmlformats.org/officeDocument/2006/relationships/hyperlink" Target="TEAM.xlsx" TargetMode="External"/><Relationship Id="rId15" Type="http://schemas.openxmlformats.org/officeDocument/2006/relationships/hyperlink" Target="MDB.xlsx" TargetMode="External"/><Relationship Id="rId23" Type="http://schemas.openxmlformats.org/officeDocument/2006/relationships/hyperlink" Target="ZETA.xlsx" TargetMode="External"/><Relationship Id="rId10" Type="http://schemas.openxmlformats.org/officeDocument/2006/relationships/hyperlink" Target="VEEV.xlsx" TargetMode="External"/><Relationship Id="rId19" Type="http://schemas.openxmlformats.org/officeDocument/2006/relationships/hyperlink" Target="FIVN.xlsx" TargetMode="External"/><Relationship Id="rId4" Type="http://schemas.openxmlformats.org/officeDocument/2006/relationships/hyperlink" Target="NOW.xlsx" TargetMode="External"/><Relationship Id="rId9" Type="http://schemas.openxmlformats.org/officeDocument/2006/relationships/hyperlink" Target="DDOG.xlsx" TargetMode="External"/><Relationship Id="rId14" Type="http://schemas.openxmlformats.org/officeDocument/2006/relationships/hyperlink" Target="ZM.xlsx" TargetMode="External"/><Relationship Id="rId22" Type="http://schemas.openxmlformats.org/officeDocument/2006/relationships/hyperlink" Target="HUBS.xls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RDDT.xlsx" TargetMode="External"/><Relationship Id="rId3" Type="http://schemas.openxmlformats.org/officeDocument/2006/relationships/hyperlink" Target="035420%20KS%20Naver.xlsx" TargetMode="External"/><Relationship Id="rId7" Type="http://schemas.openxmlformats.org/officeDocument/2006/relationships/hyperlink" Target="EB.xlsx" TargetMode="External"/><Relationship Id="rId2" Type="http://schemas.openxmlformats.org/officeDocument/2006/relationships/hyperlink" Target="700%20HK.xlsx" TargetMode="External"/><Relationship Id="rId1" Type="http://schemas.openxmlformats.org/officeDocument/2006/relationships/hyperlink" Target="META.xlsx" TargetMode="External"/><Relationship Id="rId6" Type="http://schemas.openxmlformats.org/officeDocument/2006/relationships/hyperlink" Target="RBLX.xlsx" TargetMode="External"/><Relationship Id="rId5" Type="http://schemas.openxmlformats.org/officeDocument/2006/relationships/hyperlink" Target="GRND.xlsx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SNAP.xlsx" TargetMode="External"/><Relationship Id="rId9" Type="http://schemas.openxmlformats.org/officeDocument/2006/relationships/hyperlink" Target="YALA.xls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CDNS.xlsx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ADSK.xlsx" TargetMode="External"/><Relationship Id="rId1" Type="http://schemas.openxmlformats.org/officeDocument/2006/relationships/hyperlink" Target="DSY%20FP.xlsx" TargetMode="External"/><Relationship Id="rId6" Type="http://schemas.openxmlformats.org/officeDocument/2006/relationships/hyperlink" Target="HEXA.xlsx" TargetMode="External"/><Relationship Id="rId5" Type="http://schemas.openxmlformats.org/officeDocument/2006/relationships/hyperlink" Target="ANSS.xlsx" TargetMode="External"/><Relationship Id="rId4" Type="http://schemas.openxmlformats.org/officeDocument/2006/relationships/hyperlink" Target="SNPS.xlsx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SONY.xlsx" TargetMode="External"/><Relationship Id="rId3" Type="http://schemas.openxmlformats.org/officeDocument/2006/relationships/hyperlink" Target="700%20HK.xlsx" TargetMode="External"/><Relationship Id="rId7" Type="http://schemas.openxmlformats.org/officeDocument/2006/relationships/hyperlink" Target="SONY.xlsx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SFT.xlsx" TargetMode="External"/><Relationship Id="rId1" Type="http://schemas.openxmlformats.org/officeDocument/2006/relationships/hyperlink" Target="RBLX.xlsx" TargetMode="External"/><Relationship Id="rId6" Type="http://schemas.openxmlformats.org/officeDocument/2006/relationships/hyperlink" Target="../../../OneDrive/Models%20Backup/SPOT.xlsx" TargetMode="External"/><Relationship Id="rId11" Type="http://schemas.openxmlformats.org/officeDocument/2006/relationships/hyperlink" Target="TTWO.xlsx" TargetMode="External"/><Relationship Id="rId5" Type="http://schemas.openxmlformats.org/officeDocument/2006/relationships/hyperlink" Target="ADBE.xlsx" TargetMode="External"/><Relationship Id="rId10" Type="http://schemas.openxmlformats.org/officeDocument/2006/relationships/hyperlink" Target="WBTN.xlsx" TargetMode="External"/><Relationship Id="rId4" Type="http://schemas.openxmlformats.org/officeDocument/2006/relationships/hyperlink" Target="EA.xlsx" TargetMode="External"/><Relationship Id="rId9" Type="http://schemas.openxmlformats.org/officeDocument/2006/relationships/hyperlink" Target="EVO%20ST.xlsx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SPGI.xlsx" TargetMode="External"/><Relationship Id="rId13" Type="http://schemas.microsoft.com/office/2017/10/relationships/threadedComment" Target="../threadedComments/threadedComment2.xml"/><Relationship Id="rId3" Type="http://schemas.openxmlformats.org/officeDocument/2006/relationships/hyperlink" Target="HOOD.xlsx" TargetMode="External"/><Relationship Id="rId7" Type="http://schemas.openxmlformats.org/officeDocument/2006/relationships/hyperlink" Target="XYZ.xlsx" TargetMode="External"/><Relationship Id="rId12" Type="http://schemas.openxmlformats.org/officeDocument/2006/relationships/comments" Target="../comments2.xml"/><Relationship Id="rId2" Type="http://schemas.openxmlformats.org/officeDocument/2006/relationships/hyperlink" Target="PYPL.xlsx" TargetMode="External"/><Relationship Id="rId1" Type="http://schemas.openxmlformats.org/officeDocument/2006/relationships/hyperlink" Target="INTU.xlsx" TargetMode="External"/><Relationship Id="rId6" Type="http://schemas.openxmlformats.org/officeDocument/2006/relationships/hyperlink" Target="SOFI.xlsx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DAVE.xlsx" TargetMode="External"/><Relationship Id="rId10" Type="http://schemas.openxmlformats.org/officeDocument/2006/relationships/hyperlink" Target="MA.xlsx" TargetMode="External"/><Relationship Id="rId4" Type="http://schemas.openxmlformats.org/officeDocument/2006/relationships/hyperlink" Target="V.xlsx" TargetMode="External"/><Relationship Id="rId9" Type="http://schemas.openxmlformats.org/officeDocument/2006/relationships/hyperlink" Target="DLO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TEM.xlsx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ROOT.xlsx" TargetMode="External"/><Relationship Id="rId13" Type="http://schemas.openxmlformats.org/officeDocument/2006/relationships/hyperlink" Target="CHWY.xlsx" TargetMode="External"/><Relationship Id="rId3" Type="http://schemas.openxmlformats.org/officeDocument/2006/relationships/hyperlink" Target="SHOP.xlsx" TargetMode="External"/><Relationship Id="rId7" Type="http://schemas.openxmlformats.org/officeDocument/2006/relationships/hyperlink" Target="CHGG.xlsx" TargetMode="External"/><Relationship Id="rId12" Type="http://schemas.openxmlformats.org/officeDocument/2006/relationships/hyperlink" Target="DUOL.xlsx" TargetMode="External"/><Relationship Id="rId2" Type="http://schemas.openxmlformats.org/officeDocument/2006/relationships/hyperlink" Target="AMZN.xlsx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BABA.xlsx" TargetMode="External"/><Relationship Id="rId6" Type="http://schemas.openxmlformats.org/officeDocument/2006/relationships/hyperlink" Target="RDFN.xlsx" TargetMode="External"/><Relationship Id="rId11" Type="http://schemas.openxmlformats.org/officeDocument/2006/relationships/hyperlink" Target="DASH.xlsx" TargetMode="External"/><Relationship Id="rId5" Type="http://schemas.openxmlformats.org/officeDocument/2006/relationships/hyperlink" Target="ABNB.xlsx" TargetMode="External"/><Relationship Id="rId15" Type="http://schemas.openxmlformats.org/officeDocument/2006/relationships/hyperlink" Target="HIMS.xlsx" TargetMode="External"/><Relationship Id="rId10" Type="http://schemas.openxmlformats.org/officeDocument/2006/relationships/hyperlink" Target="UBER.xlsx" TargetMode="External"/><Relationship Id="rId4" Type="http://schemas.openxmlformats.org/officeDocument/2006/relationships/hyperlink" Target="BABA.xlsx" TargetMode="External"/><Relationship Id="rId9" Type="http://schemas.openxmlformats.org/officeDocument/2006/relationships/hyperlink" Target="NRDY.xlsx" TargetMode="External"/><Relationship Id="rId14" Type="http://schemas.openxmlformats.org/officeDocument/2006/relationships/hyperlink" Target="OPEN.xlsx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AKAM.xlsx" TargetMode="External"/><Relationship Id="rId2" Type="http://schemas.openxmlformats.org/officeDocument/2006/relationships/hyperlink" Target="ZS.xlsx" TargetMode="External"/><Relationship Id="rId1" Type="http://schemas.openxmlformats.org/officeDocument/2006/relationships/hyperlink" Target="NET.xlsx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CRWD.xlsx" TargetMode="External"/><Relationship Id="rId4" Type="http://schemas.openxmlformats.org/officeDocument/2006/relationships/hyperlink" Target="S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BDC7-DC6F-4550-A83F-1B2B66C2DF19}">
  <dimension ref="A1:X1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.1796875" defaultRowHeight="12.5" x14ac:dyDescent="0.25"/>
  <cols>
    <col min="1" max="1" width="5.453125" style="49" bestFit="1" customWidth="1"/>
    <col min="2" max="2" width="18.26953125" style="49" bestFit="1" customWidth="1"/>
    <col min="3" max="16384" width="9.1796875" style="49"/>
  </cols>
  <sheetData>
    <row r="1" spans="1:24" x14ac:dyDescent="0.25">
      <c r="A1" s="49" t="s">
        <v>142</v>
      </c>
    </row>
    <row r="2" spans="1:24" x14ac:dyDescent="0.25">
      <c r="D2" s="49" t="s">
        <v>445</v>
      </c>
    </row>
    <row r="3" spans="1:24" x14ac:dyDescent="0.25">
      <c r="B3" s="49" t="s">
        <v>449</v>
      </c>
      <c r="C3" s="49" t="s">
        <v>254</v>
      </c>
    </row>
    <row r="4" spans="1:24" x14ac:dyDescent="0.25">
      <c r="B4" s="49" t="s">
        <v>450</v>
      </c>
      <c r="C4" s="49" t="s">
        <v>451</v>
      </c>
    </row>
    <row r="5" spans="1:24" x14ac:dyDescent="0.25">
      <c r="B5" s="49" t="s">
        <v>409</v>
      </c>
      <c r="C5" s="49" t="s">
        <v>13</v>
      </c>
    </row>
    <row r="6" spans="1:24" x14ac:dyDescent="0.25">
      <c r="B6" s="49" t="s">
        <v>452</v>
      </c>
      <c r="C6" s="49" t="s">
        <v>13</v>
      </c>
    </row>
    <row r="7" spans="1:24" x14ac:dyDescent="0.25">
      <c r="B7" s="49" t="s">
        <v>453</v>
      </c>
      <c r="C7" s="49" t="s">
        <v>13</v>
      </c>
    </row>
    <row r="8" spans="1:24" x14ac:dyDescent="0.25">
      <c r="B8" s="49" t="s">
        <v>454</v>
      </c>
      <c r="C8" s="49" t="s">
        <v>455</v>
      </c>
      <c r="D8" s="49">
        <v>1999</v>
      </c>
    </row>
    <row r="9" spans="1:24" x14ac:dyDescent="0.25">
      <c r="B9" s="49" t="s">
        <v>456</v>
      </c>
      <c r="C9" s="49" t="s">
        <v>7</v>
      </c>
    </row>
    <row r="10" spans="1:24" x14ac:dyDescent="0.25">
      <c r="B10" s="50" t="s">
        <v>477</v>
      </c>
      <c r="C10" s="50" t="s">
        <v>254</v>
      </c>
      <c r="D10" s="49">
        <v>1994</v>
      </c>
    </row>
    <row r="11" spans="1:24" s="9" customFormat="1" x14ac:dyDescent="0.25">
      <c r="A11" s="26"/>
      <c r="B11" s="4" t="s">
        <v>168</v>
      </c>
      <c r="C11" s="9" t="s">
        <v>169</v>
      </c>
      <c r="D11" s="9">
        <v>73.88</v>
      </c>
      <c r="E11" s="18">
        <f>+D11*H11</f>
        <v>57820.358567719995</v>
      </c>
      <c r="F11" s="18">
        <f>+[26]Main!$J$5-[26]Main!$J$6</f>
        <v>7078</v>
      </c>
      <c r="G11" s="13">
        <f>+E11-F11</f>
        <v>50742.358567719995</v>
      </c>
      <c r="H11" s="18">
        <f>+[26]Main!$J$3</f>
        <v>782.62531899999999</v>
      </c>
      <c r="I11" s="35" t="s">
        <v>346</v>
      </c>
      <c r="J11" s="23">
        <v>44946</v>
      </c>
    </row>
    <row r="12" spans="1:24" s="25" customFormat="1" x14ac:dyDescent="0.25">
      <c r="A12" s="51" t="s">
        <v>251</v>
      </c>
      <c r="B12" s="32" t="s">
        <v>325</v>
      </c>
      <c r="C12" s="83" t="s">
        <v>254</v>
      </c>
      <c r="D12" s="25">
        <v>25.54</v>
      </c>
      <c r="E12" s="24">
        <v>4800</v>
      </c>
      <c r="X12" s="25">
        <v>2012</v>
      </c>
    </row>
    <row r="13" spans="1:24" s="25" customFormat="1" x14ac:dyDescent="0.25">
      <c r="B13" s="31" t="s">
        <v>184</v>
      </c>
      <c r="C13" s="83" t="s">
        <v>770</v>
      </c>
      <c r="D13" s="12">
        <v>114.84</v>
      </c>
      <c r="E13" s="13">
        <v>17930</v>
      </c>
    </row>
  </sheetData>
  <hyperlinks>
    <hyperlink ref="B11" r:id="rId1" xr:uid="{54D233D9-C949-4228-9F3B-6F4618FC7C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021-B9D2-4E87-AC34-DE48FE1C4298}">
  <dimension ref="A1:D3"/>
  <sheetViews>
    <sheetView zoomScale="220" zoomScaleNormal="2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style="51" bestFit="1" customWidth="1"/>
    <col min="2" max="16384" width="8.81640625" style="51"/>
  </cols>
  <sheetData>
    <row r="1" spans="1:4" x14ac:dyDescent="0.25">
      <c r="A1" s="4" t="s">
        <v>142</v>
      </c>
    </row>
    <row r="2" spans="1:4" x14ac:dyDescent="0.25">
      <c r="B2" s="51" t="s">
        <v>222</v>
      </c>
      <c r="C2" s="51" t="s">
        <v>480</v>
      </c>
      <c r="D2" s="51" t="s">
        <v>481</v>
      </c>
    </row>
    <row r="3" spans="1:4" x14ac:dyDescent="0.25">
      <c r="B3" s="51" t="s">
        <v>478</v>
      </c>
      <c r="C3" s="51" t="s">
        <v>479</v>
      </c>
    </row>
  </sheetData>
  <hyperlinks>
    <hyperlink ref="A1" location="Main!A1" display="Main" xr:uid="{F932B4CB-FD6F-4FF3-B3DF-BADEA533B1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44C1-F876-4F6A-A905-60D0CF343544}">
  <dimension ref="A1:C12"/>
  <sheetViews>
    <sheetView workbookViewId="0"/>
  </sheetViews>
  <sheetFormatPr defaultColWidth="9.1796875" defaultRowHeight="12.5" x14ac:dyDescent="0.25"/>
  <cols>
    <col min="1" max="1" width="5" style="33" bestFit="1" customWidth="1"/>
    <col min="2" max="16384" width="9.1796875" style="33"/>
  </cols>
  <sheetData>
    <row r="1" spans="1:3" x14ac:dyDescent="0.25">
      <c r="A1" s="4" t="s">
        <v>142</v>
      </c>
    </row>
    <row r="2" spans="1:3" x14ac:dyDescent="0.25">
      <c r="A2" s="4"/>
      <c r="B2" s="33" t="s">
        <v>19</v>
      </c>
    </row>
    <row r="3" spans="1:3" x14ac:dyDescent="0.25">
      <c r="B3" s="33" t="s">
        <v>334</v>
      </c>
      <c r="C3" s="33" t="s">
        <v>335</v>
      </c>
    </row>
    <row r="4" spans="1:3" x14ac:dyDescent="0.25">
      <c r="B4" s="33" t="s">
        <v>336</v>
      </c>
      <c r="C4" s="33" t="s">
        <v>337</v>
      </c>
    </row>
    <row r="5" spans="1:3" x14ac:dyDescent="0.25">
      <c r="B5" s="33" t="s">
        <v>338</v>
      </c>
    </row>
    <row r="6" spans="1:3" x14ac:dyDescent="0.25">
      <c r="B6" s="33" t="s">
        <v>331</v>
      </c>
    </row>
    <row r="7" spans="1:3" x14ac:dyDescent="0.25">
      <c r="B7" s="33" t="s">
        <v>329</v>
      </c>
    </row>
    <row r="8" spans="1:3" x14ac:dyDescent="0.25">
      <c r="B8" s="33" t="s">
        <v>333</v>
      </c>
    </row>
    <row r="9" spans="1:3" x14ac:dyDescent="0.25">
      <c r="B9" s="33" t="s">
        <v>330</v>
      </c>
    </row>
    <row r="10" spans="1:3" x14ac:dyDescent="0.25">
      <c r="B10" s="33" t="s">
        <v>339</v>
      </c>
    </row>
    <row r="11" spans="1:3" x14ac:dyDescent="0.25">
      <c r="B11" s="33" t="s">
        <v>340</v>
      </c>
    </row>
    <row r="12" spans="1:3" x14ac:dyDescent="0.25">
      <c r="B12" s="33" t="s">
        <v>332</v>
      </c>
    </row>
  </sheetData>
  <hyperlinks>
    <hyperlink ref="A1" location="Main!A1" display="Main" xr:uid="{6883381D-CC78-420C-B33D-9D88ACC7CFD7}"/>
  </hyperlink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BFEC-29DF-40E8-ABA2-B3BB501AC0C1}">
  <dimension ref="A1:AT261"/>
  <sheetViews>
    <sheetView zoomScale="145" zoomScaleNormal="14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9.1796875" defaultRowHeight="12.5" x14ac:dyDescent="0.25"/>
  <cols>
    <col min="1" max="1" width="5" style="41" bestFit="1" customWidth="1"/>
    <col min="2" max="2" width="18.54296875" style="41" customWidth="1"/>
    <col min="3" max="3" width="7.90625" style="41" bestFit="1" customWidth="1"/>
    <col min="4" max="15" width="7" style="41" customWidth="1"/>
    <col min="16" max="25" width="8.08984375" style="41" customWidth="1"/>
    <col min="26" max="16384" width="9.1796875" style="41"/>
  </cols>
  <sheetData>
    <row r="1" spans="1:46" x14ac:dyDescent="0.25">
      <c r="A1" s="4" t="s">
        <v>142</v>
      </c>
    </row>
    <row r="2" spans="1:46" x14ac:dyDescent="0.25">
      <c r="B2" s="41" t="s">
        <v>0</v>
      </c>
      <c r="C2" s="83" t="s">
        <v>212</v>
      </c>
      <c r="D2" s="41">
        <v>1988</v>
      </c>
      <c r="E2" s="41">
        <v>1989</v>
      </c>
      <c r="F2" s="41">
        <f t="shared" ref="F2" si="0">+G2-1</f>
        <v>1990</v>
      </c>
      <c r="G2" s="41">
        <f t="shared" ref="G2" si="1">+H2-1</f>
        <v>1991</v>
      </c>
      <c r="H2" s="41">
        <f t="shared" ref="H2" si="2">+I2-1</f>
        <v>1992</v>
      </c>
      <c r="I2" s="41">
        <f t="shared" ref="I2" si="3">+J2-1</f>
        <v>1993</v>
      </c>
      <c r="J2" s="41">
        <f t="shared" ref="J2" si="4">+K2-1</f>
        <v>1994</v>
      </c>
      <c r="K2" s="41">
        <f t="shared" ref="K2" si="5">+L2-1</f>
        <v>1995</v>
      </c>
      <c r="L2" s="41">
        <f t="shared" ref="L2:M2" si="6">+M2-1</f>
        <v>1996</v>
      </c>
      <c r="M2" s="41">
        <f t="shared" si="6"/>
        <v>1997</v>
      </c>
      <c r="N2" s="41">
        <f t="shared" ref="N2:O2" si="7">+O2-1</f>
        <v>1998</v>
      </c>
      <c r="O2" s="41">
        <f t="shared" si="7"/>
        <v>1999</v>
      </c>
      <c r="P2" s="41">
        <f t="shared" ref="P2:S2" si="8">+Q2-1</f>
        <v>2000</v>
      </c>
      <c r="Q2" s="41">
        <f t="shared" si="8"/>
        <v>2001</v>
      </c>
      <c r="R2" s="41">
        <f t="shared" si="8"/>
        <v>2002</v>
      </c>
      <c r="S2" s="41">
        <f t="shared" si="8"/>
        <v>2003</v>
      </c>
      <c r="T2" s="41">
        <f>+U2-1</f>
        <v>2004</v>
      </c>
      <c r="U2" s="41">
        <v>2005</v>
      </c>
      <c r="V2" s="41">
        <v>2006</v>
      </c>
      <c r="W2" s="41">
        <v>2007</v>
      </c>
      <c r="X2" s="41">
        <v>2008</v>
      </c>
      <c r="Y2" s="41">
        <v>2009</v>
      </c>
      <c r="Z2" s="41">
        <v>2010</v>
      </c>
      <c r="AA2" s="41">
        <f>Z2+1</f>
        <v>2011</v>
      </c>
      <c r="AB2" s="41">
        <f t="shared" ref="AB2:AL2" si="9">AA2+1</f>
        <v>2012</v>
      </c>
      <c r="AC2" s="41">
        <f t="shared" si="9"/>
        <v>2013</v>
      </c>
      <c r="AD2" s="41">
        <f>AC2+1</f>
        <v>2014</v>
      </c>
      <c r="AE2" s="41">
        <f t="shared" si="9"/>
        <v>2015</v>
      </c>
      <c r="AF2" s="41">
        <f t="shared" si="9"/>
        <v>2016</v>
      </c>
      <c r="AG2" s="41">
        <f t="shared" si="9"/>
        <v>2017</v>
      </c>
      <c r="AH2" s="41">
        <f t="shared" si="9"/>
        <v>2018</v>
      </c>
      <c r="AI2" s="41">
        <f t="shared" si="9"/>
        <v>2019</v>
      </c>
      <c r="AJ2" s="41">
        <f t="shared" si="9"/>
        <v>2020</v>
      </c>
      <c r="AK2" s="41">
        <f t="shared" si="9"/>
        <v>2021</v>
      </c>
      <c r="AL2" s="41">
        <f t="shared" si="9"/>
        <v>2022</v>
      </c>
      <c r="AM2" s="41">
        <v>2023</v>
      </c>
      <c r="AN2" s="41">
        <f t="shared" ref="AN2:AT2" si="10">+AM2+1</f>
        <v>2024</v>
      </c>
      <c r="AO2" s="41">
        <f t="shared" si="10"/>
        <v>2025</v>
      </c>
      <c r="AP2" s="41">
        <f t="shared" si="10"/>
        <v>2026</v>
      </c>
      <c r="AQ2" s="41">
        <f t="shared" si="10"/>
        <v>2027</v>
      </c>
      <c r="AR2" s="41">
        <f t="shared" si="10"/>
        <v>2028</v>
      </c>
      <c r="AS2" s="41">
        <f t="shared" si="10"/>
        <v>2029</v>
      </c>
      <c r="AT2" s="41">
        <f t="shared" si="10"/>
        <v>2030</v>
      </c>
    </row>
    <row r="3" spans="1:46" x14ac:dyDescent="0.25">
      <c r="B3" s="83" t="s">
        <v>765</v>
      </c>
      <c r="C3" s="83"/>
      <c r="D3" s="88">
        <f t="shared" ref="D3:I3" si="11">+E3/1.03</f>
        <v>24094.340755637593</v>
      </c>
      <c r="E3" s="88">
        <f t="shared" si="11"/>
        <v>24817.170978306724</v>
      </c>
      <c r="F3" s="88">
        <f t="shared" si="11"/>
        <v>25561.686107655925</v>
      </c>
      <c r="G3" s="88">
        <f t="shared" si="11"/>
        <v>26328.536690885605</v>
      </c>
      <c r="H3" s="88">
        <f t="shared" si="11"/>
        <v>27118.392791612172</v>
      </c>
      <c r="I3" s="88">
        <f t="shared" si="11"/>
        <v>27931.94457536054</v>
      </c>
      <c r="J3" s="88">
        <f>+K3/1.03</f>
        <v>28769.902912621357</v>
      </c>
      <c r="K3" s="88">
        <v>29633</v>
      </c>
      <c r="L3" s="88">
        <f t="shared" ref="L3:Q3" si="12">+K3*1.02</f>
        <v>30225.66</v>
      </c>
      <c r="M3" s="88">
        <f t="shared" si="12"/>
        <v>30830.173200000001</v>
      </c>
      <c r="N3" s="88">
        <f t="shared" si="12"/>
        <v>31446.776664000001</v>
      </c>
      <c r="O3" s="88">
        <f t="shared" si="12"/>
        <v>32075.712197280001</v>
      </c>
      <c r="P3" s="88">
        <f t="shared" si="12"/>
        <v>32717.226441225601</v>
      </c>
      <c r="Q3" s="88">
        <f t="shared" si="12"/>
        <v>33371.57097005011</v>
      </c>
      <c r="R3" s="88">
        <f t="shared" ref="R3:AT3" si="13">+Q3*1.02</f>
        <v>34039.002389451111</v>
      </c>
      <c r="S3" s="88">
        <f t="shared" si="13"/>
        <v>34719.78243724013</v>
      </c>
      <c r="T3" s="88">
        <f t="shared" si="13"/>
        <v>35414.178085984931</v>
      </c>
      <c r="U3" s="88">
        <f t="shared" si="13"/>
        <v>36122.461647704629</v>
      </c>
      <c r="V3" s="88">
        <f t="shared" si="13"/>
        <v>36844.910880658725</v>
      </c>
      <c r="W3" s="88">
        <f t="shared" si="13"/>
        <v>37581.8090982719</v>
      </c>
      <c r="X3" s="88">
        <f t="shared" si="13"/>
        <v>38333.445280237342</v>
      </c>
      <c r="Y3" s="88">
        <f t="shared" si="13"/>
        <v>39100.114185842089</v>
      </c>
      <c r="Z3" s="88">
        <f t="shared" si="13"/>
        <v>39882.116469558932</v>
      </c>
      <c r="AA3" s="88">
        <f t="shared" si="13"/>
        <v>40679.758798950112</v>
      </c>
      <c r="AB3" s="88">
        <f t="shared" si="13"/>
        <v>41493.353974929116</v>
      </c>
      <c r="AC3" s="88">
        <f t="shared" si="13"/>
        <v>42323.221054427697</v>
      </c>
      <c r="AD3" s="88">
        <f>+AC3*1.02</f>
        <v>43169.685475516249</v>
      </c>
      <c r="AE3" s="88">
        <f t="shared" si="13"/>
        <v>44033.079185026574</v>
      </c>
      <c r="AF3" s="88">
        <f t="shared" si="13"/>
        <v>44913.740768727104</v>
      </c>
      <c r="AG3" s="88">
        <f t="shared" si="13"/>
        <v>45812.015584101646</v>
      </c>
      <c r="AH3" s="88">
        <f t="shared" si="13"/>
        <v>46728.255895783681</v>
      </c>
      <c r="AI3" s="88">
        <f t="shared" si="13"/>
        <v>47662.821013699358</v>
      </c>
      <c r="AJ3" s="88">
        <f t="shared" si="13"/>
        <v>48616.077433973347</v>
      </c>
      <c r="AK3" s="88">
        <f t="shared" si="13"/>
        <v>49588.398982652812</v>
      </c>
      <c r="AL3" s="88">
        <f t="shared" si="13"/>
        <v>50580.16696230587</v>
      </c>
      <c r="AM3" s="88">
        <f t="shared" si="13"/>
        <v>51591.770301551987</v>
      </c>
      <c r="AN3" s="88">
        <f t="shared" si="13"/>
        <v>52623.605707583025</v>
      </c>
      <c r="AO3" s="88">
        <f t="shared" si="13"/>
        <v>53676.077821734689</v>
      </c>
      <c r="AP3" s="88">
        <f t="shared" si="13"/>
        <v>54749.599378169383</v>
      </c>
      <c r="AQ3" s="88">
        <f t="shared" si="13"/>
        <v>55844.591365732769</v>
      </c>
      <c r="AR3" s="88">
        <f t="shared" si="13"/>
        <v>56961.483193047425</v>
      </c>
      <c r="AS3" s="88">
        <f t="shared" si="13"/>
        <v>58100.712856908372</v>
      </c>
      <c r="AT3" s="88">
        <f t="shared" si="13"/>
        <v>59262.727114046538</v>
      </c>
    </row>
    <row r="4" spans="1:46" s="22" customFormat="1" ht="13" x14ac:dyDescent="0.3">
      <c r="B4" s="22" t="s">
        <v>412</v>
      </c>
      <c r="D4" s="87">
        <f>SUM(D9:D205)</f>
        <v>12534.671162123997</v>
      </c>
      <c r="E4" s="87">
        <f>SUM(E9:E217)</f>
        <v>14894.727517319998</v>
      </c>
      <c r="F4" s="87">
        <f t="shared" ref="F4:AT4" si="14">SUM(F9:F217)</f>
        <v>18006.786167599996</v>
      </c>
      <c r="G4" s="87">
        <f t="shared" si="14"/>
        <v>20720.190668000003</v>
      </c>
      <c r="H4" s="87">
        <f t="shared" si="14"/>
        <v>23040.183439999993</v>
      </c>
      <c r="I4" s="87">
        <f t="shared" si="14"/>
        <v>25818.431639999999</v>
      </c>
      <c r="J4" s="87">
        <f t="shared" si="14"/>
        <v>28270.218528000001</v>
      </c>
      <c r="K4" s="87">
        <f t="shared" si="14"/>
        <v>31560.685280991733</v>
      </c>
      <c r="L4" s="87">
        <f t="shared" si="14"/>
        <v>38875.070909090908</v>
      </c>
      <c r="M4" s="87">
        <f t="shared" si="14"/>
        <v>50409.245999999999</v>
      </c>
      <c r="N4" s="87">
        <f t="shared" si="14"/>
        <v>59427.55575</v>
      </c>
      <c r="O4" s="87">
        <f t="shared" si="14"/>
        <v>70727.39772399998</v>
      </c>
      <c r="P4" s="87">
        <f t="shared" si="14"/>
        <v>81286.136319999991</v>
      </c>
      <c r="Q4" s="87">
        <f t="shared" si="14"/>
        <v>84145.085599999977</v>
      </c>
      <c r="R4" s="87">
        <f t="shared" si="14"/>
        <v>87065.506000000008</v>
      </c>
      <c r="S4" s="87">
        <f t="shared" si="14"/>
        <v>95025.573999999993</v>
      </c>
      <c r="T4" s="87">
        <f t="shared" si="14"/>
        <v>105452.591</v>
      </c>
      <c r="U4" s="87">
        <f t="shared" si="14"/>
        <v>113266.68000000001</v>
      </c>
      <c r="V4" s="87">
        <f t="shared" si="14"/>
        <v>116586.07467169641</v>
      </c>
      <c r="W4" s="87">
        <f t="shared" si="14"/>
        <v>139444.88930754457</v>
      </c>
      <c r="X4" s="87">
        <f t="shared" si="14"/>
        <v>164044.82114531688</v>
      </c>
      <c r="Y4" s="87">
        <f t="shared" si="14"/>
        <v>164455.57471749533</v>
      </c>
      <c r="Z4" s="87">
        <f t="shared" si="14"/>
        <v>190076.40266074851</v>
      </c>
      <c r="AA4" s="87">
        <f t="shared" si="14"/>
        <v>219653.93118316363</v>
      </c>
      <c r="AB4" s="87">
        <f t="shared" si="14"/>
        <v>240209.43235416667</v>
      </c>
      <c r="AC4" s="87">
        <f t="shared" si="14"/>
        <v>262241.625375</v>
      </c>
      <c r="AD4" s="87">
        <f t="shared" si="14"/>
        <v>294236.28875000007</v>
      </c>
      <c r="AE4" s="87">
        <f t="shared" si="14"/>
        <v>321930.08259999997</v>
      </c>
      <c r="AF4" s="87">
        <f t="shared" si="14"/>
        <v>351832.457735</v>
      </c>
      <c r="AG4" s="87">
        <f t="shared" si="14"/>
        <v>415015.13403975003</v>
      </c>
      <c r="AH4" s="87">
        <f t="shared" si="14"/>
        <v>493675.52466560004</v>
      </c>
      <c r="AI4" s="87">
        <f t="shared" si="14"/>
        <v>582731.82913215994</v>
      </c>
      <c r="AJ4" s="87">
        <f t="shared" si="14"/>
        <v>685715.07904537604</v>
      </c>
      <c r="AK4" s="87">
        <f t="shared" si="14"/>
        <v>924480.27</v>
      </c>
      <c r="AL4" s="87">
        <f t="shared" si="14"/>
        <v>1007058.2881</v>
      </c>
      <c r="AM4" s="87">
        <f t="shared" si="14"/>
        <v>1136336.8107429999</v>
      </c>
      <c r="AN4" s="87">
        <f t="shared" si="14"/>
        <v>1325109.2829652899</v>
      </c>
      <c r="AO4" s="87">
        <f t="shared" si="14"/>
        <v>1480102.5366542488</v>
      </c>
      <c r="AP4" s="87">
        <f>SUM(AP9:AP217)</f>
        <v>1544020.3518888238</v>
      </c>
      <c r="AQ4" s="87">
        <f t="shared" si="14"/>
        <v>1634065.5693249416</v>
      </c>
      <c r="AR4" s="87">
        <f t="shared" si="14"/>
        <v>1786435.9756842973</v>
      </c>
      <c r="AS4" s="87">
        <f t="shared" si="14"/>
        <v>1973383.9047148186</v>
      </c>
      <c r="AT4" s="87">
        <f t="shared" si="14"/>
        <v>2157727.1133198179</v>
      </c>
    </row>
    <row r="5" spans="1:46" s="22" customFormat="1" ht="13" x14ac:dyDescent="0.3">
      <c r="B5" s="22" t="s">
        <v>767</v>
      </c>
      <c r="D5" s="87"/>
      <c r="E5" s="89">
        <f t="shared" ref="E5" si="15">+E4/D4-1</f>
        <v>0.18828227120368179</v>
      </c>
      <c r="F5" s="89">
        <f t="shared" ref="F5" si="16">+F4/E4-1</f>
        <v>0.20893693064617747</v>
      </c>
      <c r="G5" s="89">
        <f t="shared" ref="G5" si="17">+G4/F4-1</f>
        <v>0.15068788373142872</v>
      </c>
      <c r="H5" s="89">
        <f t="shared" ref="H5" si="18">+H4/G4-1</f>
        <v>0.11196773278650163</v>
      </c>
      <c r="I5" s="89">
        <f t="shared" ref="I5" si="19">+I4/H4-1</f>
        <v>0.12058272917986823</v>
      </c>
      <c r="J5" s="89">
        <f t="shared" ref="J5" si="20">+J4/I4-1</f>
        <v>9.4962657770485848E-2</v>
      </c>
      <c r="K5" s="89">
        <f t="shared" ref="K5" si="21">+K4/J4-1</f>
        <v>0.11639339645474323</v>
      </c>
      <c r="L5" s="89">
        <f t="shared" ref="L5:P5" si="22">+L4/K4-1</f>
        <v>0.23175623605690387</v>
      </c>
      <c r="M5" s="89">
        <f t="shared" si="22"/>
        <v>0.29669849652188884</v>
      </c>
      <c r="N5" s="89">
        <f t="shared" si="22"/>
        <v>0.1789018972828913</v>
      </c>
      <c r="O5" s="89">
        <f t="shared" si="22"/>
        <v>0.19014482139457645</v>
      </c>
      <c r="P5" s="89">
        <f t="shared" si="22"/>
        <v>0.14928781399823943</v>
      </c>
      <c r="Q5" s="89">
        <f>+Q4/P4-1</f>
        <v>3.5171425404513457E-2</v>
      </c>
      <c r="R5" s="89">
        <f t="shared" ref="R5" si="23">+R4/Q4-1</f>
        <v>3.4706963326210483E-2</v>
      </c>
      <c r="S5" s="89">
        <f t="shared" ref="S5" si="24">+S4/R4-1</f>
        <v>9.1426195811691313E-2</v>
      </c>
      <c r="T5" s="89">
        <f t="shared" ref="T5:U5" si="25">+T4/S4-1</f>
        <v>0.10972853476265243</v>
      </c>
      <c r="U5" s="89">
        <f t="shared" si="25"/>
        <v>7.4100493178019811E-2</v>
      </c>
      <c r="V5" s="89">
        <f>+V4/U4-1</f>
        <v>2.9306011897730189E-2</v>
      </c>
      <c r="W5" s="89">
        <f t="shared" ref="W5:AT5" si="26">+W4/V4-1</f>
        <v>0.19606813849954241</v>
      </c>
      <c r="X5" s="89">
        <f t="shared" si="26"/>
        <v>0.1764132910136087</v>
      </c>
      <c r="Y5" s="89">
        <f t="shared" si="26"/>
        <v>2.5039106343660578E-3</v>
      </c>
      <c r="Z5" s="89">
        <f t="shared" si="26"/>
        <v>0.15579178746153843</v>
      </c>
      <c r="AA5" s="89">
        <f t="shared" si="26"/>
        <v>0.15560862952149601</v>
      </c>
      <c r="AB5" s="89">
        <f t="shared" si="26"/>
        <v>9.358130337245063E-2</v>
      </c>
      <c r="AC5" s="89">
        <f t="shared" si="26"/>
        <v>9.1720765520768133E-2</v>
      </c>
      <c r="AD5" s="89">
        <f t="shared" si="26"/>
        <v>0.12200451903563514</v>
      </c>
      <c r="AE5" s="89">
        <f t="shared" si="26"/>
        <v>9.4120932423567005E-2</v>
      </c>
      <c r="AF5" s="89">
        <f t="shared" si="26"/>
        <v>9.2884687549233735E-2</v>
      </c>
      <c r="AG5" s="89">
        <f t="shared" si="26"/>
        <v>0.17958171543211954</v>
      </c>
      <c r="AH5" s="89">
        <f t="shared" si="26"/>
        <v>0.18953619801806054</v>
      </c>
      <c r="AI5" s="89">
        <f t="shared" si="26"/>
        <v>0.1803944089123799</v>
      </c>
      <c r="AJ5" s="89">
        <f t="shared" si="26"/>
        <v>0.17672494407347727</v>
      </c>
      <c r="AK5" s="89">
        <f t="shared" si="26"/>
        <v>0.34819883396325912</v>
      </c>
      <c r="AL5" s="89">
        <f t="shared" si="26"/>
        <v>8.932372142457945E-2</v>
      </c>
      <c r="AM5" s="89">
        <f t="shared" si="26"/>
        <v>0.12837243302660029</v>
      </c>
      <c r="AN5" s="89">
        <f t="shared" si="26"/>
        <v>0.16612369716234054</v>
      </c>
      <c r="AO5" s="89">
        <f t="shared" si="26"/>
        <v>0.11696639339973514</v>
      </c>
      <c r="AP5" s="89">
        <f t="shared" si="26"/>
        <v>4.3184721093080691E-2</v>
      </c>
      <c r="AQ5" s="89">
        <f t="shared" si="26"/>
        <v>5.831867263016588E-2</v>
      </c>
      <c r="AR5" s="89">
        <f t="shared" si="26"/>
        <v>9.3246200898965403E-2</v>
      </c>
      <c r="AS5" s="89">
        <f t="shared" si="26"/>
        <v>0.1046485469253442</v>
      </c>
      <c r="AT5" s="89">
        <f t="shared" si="26"/>
        <v>9.3414772546064562E-2</v>
      </c>
    </row>
    <row r="6" spans="1:46" s="22" customFormat="1" ht="13" x14ac:dyDescent="0.3"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</row>
    <row r="7" spans="1:46" s="22" customFormat="1" ht="13" x14ac:dyDescent="0.3">
      <c r="B7" s="22" t="s">
        <v>766</v>
      </c>
      <c r="D7" s="90"/>
      <c r="E7" s="90">
        <f t="shared" ref="E7:J7" si="27">(E4/1000)/E3</f>
        <v>6.0017830115849347E-4</v>
      </c>
      <c r="F7" s="90">
        <f t="shared" si="27"/>
        <v>7.0444438178930691E-4</v>
      </c>
      <c r="G7" s="90">
        <f t="shared" si="27"/>
        <v>7.8698603387148769E-4</v>
      </c>
      <c r="H7" s="90">
        <f t="shared" si="27"/>
        <v>8.49614636717203E-4</v>
      </c>
      <c r="I7" s="90">
        <f t="shared" si="27"/>
        <v>9.2433348384827736E-4</v>
      </c>
      <c r="J7" s="90">
        <f t="shared" si="27"/>
        <v>9.8263169722404096E-4</v>
      </c>
      <c r="K7" s="90">
        <f>(K4/1000)/K3</f>
        <v>1.0650519785709086E-3</v>
      </c>
      <c r="L7" s="90">
        <f t="shared" ref="L7:AT7" si="28">(L4/1000)/L3</f>
        <v>1.2861611924798635E-3</v>
      </c>
      <c r="M7" s="90">
        <f t="shared" si="28"/>
        <v>1.6350620436994495E-3</v>
      </c>
      <c r="N7" s="90">
        <f t="shared" si="28"/>
        <v>1.8897821034240419E-3</v>
      </c>
      <c r="O7" s="90">
        <f t="shared" si="28"/>
        <v>2.2050141019159543E-3</v>
      </c>
      <c r="P7" s="90">
        <f t="shared" si="28"/>
        <v>2.4845057225747827E-3</v>
      </c>
      <c r="Q7" s="90">
        <f t="shared" si="28"/>
        <v>2.5214601277092235E-3</v>
      </c>
      <c r="R7" s="90">
        <f t="shared" si="28"/>
        <v>2.5578160312648333E-3</v>
      </c>
      <c r="S7" s="90">
        <f t="shared" si="28"/>
        <v>2.7369288437152305E-3</v>
      </c>
      <c r="T7" s="90">
        <f t="shared" si="28"/>
        <v>2.9776941524370035E-3</v>
      </c>
      <c r="U7" s="90">
        <f t="shared" si="28"/>
        <v>3.1356301545744031E-3</v>
      </c>
      <c r="V7" s="90">
        <f t="shared" si="28"/>
        <v>3.1642382050894526E-3</v>
      </c>
      <c r="W7" s="90">
        <f t="shared" si="28"/>
        <v>3.7104357840494853E-3</v>
      </c>
      <c r="X7" s="90">
        <f t="shared" si="28"/>
        <v>4.2794176194199153E-3</v>
      </c>
      <c r="Y7" s="90">
        <f t="shared" si="28"/>
        <v>4.2060126457902696E-3</v>
      </c>
      <c r="Z7" s="90">
        <f t="shared" si="28"/>
        <v>4.7659557587880095E-3</v>
      </c>
      <c r="AA7" s="90">
        <f t="shared" si="28"/>
        <v>5.3995878458559738E-3</v>
      </c>
      <c r="AB7" s="90">
        <f t="shared" si="28"/>
        <v>5.7891061903384495E-3</v>
      </c>
      <c r="AC7" s="90">
        <f t="shared" si="28"/>
        <v>6.1961641586248143E-3</v>
      </c>
      <c r="AD7" s="90">
        <f t="shared" si="28"/>
        <v>6.8158080261408582E-3</v>
      </c>
      <c r="AE7" s="90">
        <f t="shared" si="28"/>
        <v>7.3110963066483018E-3</v>
      </c>
      <c r="AF7" s="90">
        <f t="shared" si="28"/>
        <v>7.8335149046408689E-3</v>
      </c>
      <c r="AG7" s="90">
        <f t="shared" si="28"/>
        <v>9.0590891657640719E-3</v>
      </c>
      <c r="AH7" s="90">
        <f t="shared" si="28"/>
        <v>1.0564818121323136E-2</v>
      </c>
      <c r="AI7" s="90">
        <f t="shared" si="28"/>
        <v>1.2226129648613745E-2</v>
      </c>
      <c r="AJ7" s="90">
        <f t="shared" si="28"/>
        <v>1.4104697771568716E-2</v>
      </c>
      <c r="AK7" s="90">
        <f t="shared" si="28"/>
        <v>1.8643075577483455E-2</v>
      </c>
      <c r="AL7" s="90">
        <f t="shared" si="28"/>
        <v>1.991014163418036E-2</v>
      </c>
      <c r="AM7" s="90">
        <f t="shared" si="28"/>
        <v>2.2025544076141473E-2</v>
      </c>
      <c r="AN7" s="90">
        <f>(AN4/1000)/AN3</f>
        <v>2.5180891068708022E-2</v>
      </c>
      <c r="AO7" s="90">
        <f t="shared" si="28"/>
        <v>2.7574714783927839E-2</v>
      </c>
      <c r="AP7" s="90">
        <f t="shared" si="28"/>
        <v>2.8201491324600994E-2</v>
      </c>
      <c r="AQ7" s="90">
        <f t="shared" si="28"/>
        <v>2.9260945945924374E-2</v>
      </c>
      <c r="AR7" s="90">
        <f t="shared" si="28"/>
        <v>3.1362174500090004E-2</v>
      </c>
      <c r="AS7" s="90">
        <f t="shared" si="28"/>
        <v>3.3964882833277948E-2</v>
      </c>
      <c r="AT7" s="90">
        <f t="shared" si="28"/>
        <v>3.6409514350688565E-2</v>
      </c>
    </row>
    <row r="8" spans="1:46" x14ac:dyDescent="0.25"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</row>
    <row r="9" spans="1:46" x14ac:dyDescent="0.25">
      <c r="A9" s="41">
        <v>1</v>
      </c>
      <c r="B9" s="41" t="s">
        <v>9</v>
      </c>
      <c r="C9" s="41">
        <v>1998</v>
      </c>
      <c r="D9" s="92">
        <v>0</v>
      </c>
      <c r="E9" s="92">
        <v>0</v>
      </c>
      <c r="F9" s="92">
        <v>0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42">
        <v>86</v>
      </c>
      <c r="R9" s="42">
        <v>439</v>
      </c>
      <c r="S9" s="42">
        <v>1470</v>
      </c>
      <c r="T9" s="42">
        <v>3190</v>
      </c>
      <c r="U9" s="42">
        <v>6140</v>
      </c>
      <c r="V9" s="42">
        <v>10600</v>
      </c>
      <c r="W9" s="42">
        <v>16590</v>
      </c>
      <c r="X9" s="42">
        <v>21790</v>
      </c>
      <c r="Y9" s="42">
        <v>23650</v>
      </c>
      <c r="Z9" s="42">
        <v>29320</v>
      </c>
      <c r="AA9" s="42">
        <v>37910</v>
      </c>
      <c r="AB9" s="42">
        <v>46039</v>
      </c>
      <c r="AC9" s="42">
        <v>55519</v>
      </c>
      <c r="AD9" s="42">
        <v>66001</v>
      </c>
      <c r="AE9" s="42">
        <v>74989</v>
      </c>
      <c r="AF9" s="42">
        <v>90272</v>
      </c>
      <c r="AG9" s="42">
        <v>110855</v>
      </c>
      <c r="AH9" s="42">
        <v>136819</v>
      </c>
      <c r="AI9" s="42">
        <v>161857</v>
      </c>
      <c r="AJ9" s="42">
        <v>182527</v>
      </c>
      <c r="AK9" s="42">
        <f>257637-28800-19900</f>
        <v>208937</v>
      </c>
      <c r="AL9" s="42">
        <f>282836-29240-26280</f>
        <v>227316</v>
      </c>
      <c r="AM9" s="42">
        <f>307394-31510-33090</f>
        <v>242794</v>
      </c>
      <c r="AN9" s="42">
        <f>350018-36200-43200</f>
        <v>270618</v>
      </c>
      <c r="AO9" s="42">
        <f>+AN9*1.1</f>
        <v>297679.80000000005</v>
      </c>
      <c r="AP9" s="42">
        <f>+AO9*1.08</f>
        <v>321494.18400000007</v>
      </c>
      <c r="AQ9" s="42">
        <f>+AP9*1.08</f>
        <v>347213.71872000012</v>
      </c>
      <c r="AR9" s="42">
        <f>+AQ9*1.08</f>
        <v>374990.81621760014</v>
      </c>
      <c r="AS9" s="42">
        <f>+AR9*1.08</f>
        <v>404990.08151500818</v>
      </c>
      <c r="AT9" s="42">
        <f>+AS9*0.9</f>
        <v>364491.07336350734</v>
      </c>
    </row>
    <row r="10" spans="1:46" x14ac:dyDescent="0.25">
      <c r="A10" s="41">
        <f>+A9+1</f>
        <v>2</v>
      </c>
      <c r="B10" s="41" t="s">
        <v>7</v>
      </c>
      <c r="C10" s="41">
        <v>1975</v>
      </c>
      <c r="D10" s="42">
        <v>591</v>
      </c>
      <c r="E10" s="42">
        <v>804</v>
      </c>
      <c r="F10" s="42">
        <v>1183</v>
      </c>
      <c r="G10" s="42">
        <v>1843</v>
      </c>
      <c r="H10" s="42">
        <v>2759</v>
      </c>
      <c r="I10" s="42">
        <v>3753</v>
      </c>
      <c r="J10" s="42">
        <v>4649</v>
      </c>
      <c r="K10" s="42">
        <v>5937</v>
      </c>
      <c r="L10" s="42">
        <v>8671</v>
      </c>
      <c r="M10" s="42">
        <v>11936</v>
      </c>
      <c r="N10" s="42">
        <v>15262</v>
      </c>
      <c r="O10" s="42">
        <v>19747</v>
      </c>
      <c r="P10" s="42">
        <v>22960</v>
      </c>
      <c r="Q10" s="42">
        <v>26720</v>
      </c>
      <c r="R10" s="42">
        <v>30780</v>
      </c>
      <c r="S10" s="42">
        <v>34260</v>
      </c>
      <c r="T10" s="42">
        <v>36840</v>
      </c>
      <c r="U10" s="42">
        <v>39700</v>
      </c>
      <c r="V10" s="42">
        <v>44200</v>
      </c>
      <c r="W10" s="42">
        <v>51100</v>
      </c>
      <c r="X10" s="42">
        <v>60400</v>
      </c>
      <c r="Y10" s="42">
        <v>58400</v>
      </c>
      <c r="Z10" s="42">
        <v>62484</v>
      </c>
      <c r="AA10" s="42">
        <v>69943</v>
      </c>
      <c r="AB10" s="42">
        <v>73723</v>
      </c>
      <c r="AC10" s="42">
        <v>77849</v>
      </c>
      <c r="AD10" s="42">
        <v>86833</v>
      </c>
      <c r="AE10" s="42">
        <v>93580</v>
      </c>
      <c r="AF10" s="42">
        <v>85320</v>
      </c>
      <c r="AG10" s="42">
        <v>96571</v>
      </c>
      <c r="AH10" s="42">
        <v>110360</v>
      </c>
      <c r="AI10" s="42">
        <f>125843-5000</f>
        <v>120843</v>
      </c>
      <c r="AJ10" s="42">
        <f>143015-17000</f>
        <v>126015</v>
      </c>
      <c r="AK10" s="42">
        <f>184903-50000</f>
        <v>134903</v>
      </c>
      <c r="AL10" s="42">
        <f>192270-44000</f>
        <v>148270</v>
      </c>
      <c r="AM10" s="42">
        <f>211915-68000</f>
        <v>143915</v>
      </c>
      <c r="AN10" s="42">
        <f>245122-75000</f>
        <v>170122</v>
      </c>
      <c r="AO10" s="42">
        <f>281724-90000</f>
        <v>191724</v>
      </c>
      <c r="AP10" s="42">
        <f>+AO10*1.05</f>
        <v>201310.2</v>
      </c>
      <c r="AQ10" s="42">
        <f t="shared" ref="AQ10:AT10" si="29">+AP10*1.05</f>
        <v>211375.71000000002</v>
      </c>
      <c r="AR10" s="42">
        <f t="shared" si="29"/>
        <v>221944.49550000002</v>
      </c>
      <c r="AS10" s="42">
        <f t="shared" si="29"/>
        <v>233041.72027500003</v>
      </c>
      <c r="AT10" s="42">
        <f t="shared" si="29"/>
        <v>244693.80628875003</v>
      </c>
    </row>
    <row r="11" spans="1:46" x14ac:dyDescent="0.25">
      <c r="A11" s="41">
        <f>+A10+1</f>
        <v>3</v>
      </c>
      <c r="B11" s="41" t="s">
        <v>23</v>
      </c>
      <c r="C11" s="41">
        <v>1977</v>
      </c>
      <c r="D11" s="42">
        <v>282</v>
      </c>
      <c r="E11" s="42">
        <v>584</v>
      </c>
      <c r="F11" s="42">
        <v>916</v>
      </c>
      <c r="G11" s="42">
        <v>1028</v>
      </c>
      <c r="H11" s="42">
        <v>1180</v>
      </c>
      <c r="I11" s="42">
        <v>1500</v>
      </c>
      <c r="J11" s="42">
        <v>2000</v>
      </c>
      <c r="K11" s="42">
        <v>2970</v>
      </c>
      <c r="L11" s="42">
        <v>4220</v>
      </c>
      <c r="M11" s="42">
        <v>5680</v>
      </c>
      <c r="N11" s="42">
        <v>7140</v>
      </c>
      <c r="O11" s="42">
        <v>8830</v>
      </c>
      <c r="P11" s="42">
        <v>10740</v>
      </c>
      <c r="Q11" s="42">
        <v>10560</v>
      </c>
      <c r="R11" s="42">
        <v>9430</v>
      </c>
      <c r="S11" s="42">
        <v>9700</v>
      </c>
      <c r="T11" s="42">
        <v>10550</v>
      </c>
      <c r="U11" s="42">
        <v>12880</v>
      </c>
      <c r="V11" s="42">
        <v>16070</v>
      </c>
      <c r="W11" s="42">
        <v>20080</v>
      </c>
      <c r="X11" s="42">
        <v>23520</v>
      </c>
      <c r="Y11" s="42">
        <v>23220</v>
      </c>
      <c r="Z11" s="42">
        <v>31990</v>
      </c>
      <c r="AA11" s="42">
        <v>36700</v>
      </c>
      <c r="AB11" s="42">
        <v>37230</v>
      </c>
      <c r="AC11" s="42">
        <v>37180</v>
      </c>
      <c r="AD11" s="42">
        <v>38820</v>
      </c>
      <c r="AE11" s="42">
        <v>37470</v>
      </c>
      <c r="AF11" s="42">
        <v>37728</v>
      </c>
      <c r="AG11" s="42">
        <v>39831</v>
      </c>
      <c r="AH11" s="42">
        <v>39506</v>
      </c>
      <c r="AI11" s="42">
        <v>39068</v>
      </c>
      <c r="AJ11" s="42">
        <v>40479</v>
      </c>
      <c r="AK11" s="42">
        <v>42440</v>
      </c>
      <c r="AL11" s="42">
        <f>49954-6000</f>
        <v>43954</v>
      </c>
      <c r="AM11" s="42">
        <f>52961-8000</f>
        <v>44961</v>
      </c>
      <c r="AN11" s="42">
        <f>57399-10000</f>
        <v>47399</v>
      </c>
      <c r="AO11" s="42">
        <f>+AN11*1.05</f>
        <v>49768.950000000004</v>
      </c>
      <c r="AP11" s="42">
        <f t="shared" ref="AP11:AT11" si="30">+AO11*1.05</f>
        <v>52257.397500000006</v>
      </c>
      <c r="AQ11" s="42">
        <f t="shared" si="30"/>
        <v>54870.26737500001</v>
      </c>
      <c r="AR11" s="42">
        <f t="shared" si="30"/>
        <v>57613.780743750016</v>
      </c>
      <c r="AS11" s="42">
        <f t="shared" si="30"/>
        <v>60494.469780937521</v>
      </c>
      <c r="AT11" s="42">
        <f t="shared" si="30"/>
        <v>63519.193269984396</v>
      </c>
    </row>
    <row r="12" spans="1:46" x14ac:dyDescent="0.25">
      <c r="A12" s="41">
        <f t="shared" ref="A12:A203" si="31">+A11+1</f>
        <v>4</v>
      </c>
      <c r="B12" s="41" t="s">
        <v>21</v>
      </c>
      <c r="C12" s="41">
        <v>1999</v>
      </c>
      <c r="D12" s="92">
        <v>0</v>
      </c>
      <c r="E12" s="92">
        <v>0</v>
      </c>
      <c r="F12" s="92">
        <v>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42">
        <f t="shared" ref="O12:S12" si="32">+P12*0.7</f>
        <v>20.706223999999988</v>
      </c>
      <c r="P12" s="42">
        <f t="shared" si="32"/>
        <v>29.580319999999986</v>
      </c>
      <c r="Q12" s="42">
        <f t="shared" si="32"/>
        <v>42.257599999999982</v>
      </c>
      <c r="R12" s="42">
        <f t="shared" si="32"/>
        <v>60.367999999999981</v>
      </c>
      <c r="S12" s="42">
        <f t="shared" si="32"/>
        <v>86.239999999999981</v>
      </c>
      <c r="T12" s="42">
        <f>+U12*0.7</f>
        <v>123.19999999999999</v>
      </c>
      <c r="U12" s="42">
        <v>176</v>
      </c>
      <c r="V12" s="42">
        <v>310</v>
      </c>
      <c r="W12" s="42">
        <v>497</v>
      </c>
      <c r="X12" s="42">
        <v>749</v>
      </c>
      <c r="Y12" s="42">
        <v>1077</v>
      </c>
      <c r="Z12" s="42">
        <v>1306</v>
      </c>
      <c r="AA12" s="42">
        <v>1657</v>
      </c>
      <c r="AB12" s="42">
        <v>2267</v>
      </c>
      <c r="AC12" s="42">
        <v>3050</v>
      </c>
      <c r="AD12" s="42">
        <v>4071</v>
      </c>
      <c r="AE12" s="42">
        <v>5374</v>
      </c>
      <c r="AF12" s="42">
        <v>6667</v>
      </c>
      <c r="AG12" s="42">
        <v>8392</v>
      </c>
      <c r="AH12" s="42">
        <v>10480</v>
      </c>
      <c r="AI12" s="42">
        <v>13282</v>
      </c>
      <c r="AJ12" s="42">
        <v>17098</v>
      </c>
      <c r="AK12" s="42">
        <v>21252</v>
      </c>
      <c r="AL12" s="42">
        <v>26492</v>
      </c>
      <c r="AM12" s="42">
        <v>31352</v>
      </c>
      <c r="AN12" s="42">
        <v>34857</v>
      </c>
      <c r="AO12" s="42">
        <v>37895</v>
      </c>
      <c r="AP12" s="42">
        <f>+AO12*0.9</f>
        <v>34105.5</v>
      </c>
      <c r="AQ12" s="42">
        <f>+AP12*0.9</f>
        <v>30694.95</v>
      </c>
      <c r="AR12" s="42">
        <f>+AQ12*0.9</f>
        <v>27625.455000000002</v>
      </c>
      <c r="AS12" s="42">
        <f>+AR12*0.9</f>
        <v>24862.909500000002</v>
      </c>
      <c r="AT12" s="42">
        <f>+AS12*0.9</f>
        <v>22376.618550000003</v>
      </c>
    </row>
    <row r="13" spans="1:46" x14ac:dyDescent="0.25">
      <c r="A13" s="41">
        <f t="shared" si="31"/>
        <v>5</v>
      </c>
      <c r="B13" s="41" t="s">
        <v>25</v>
      </c>
      <c r="C13" s="41">
        <v>1972</v>
      </c>
      <c r="D13" s="42">
        <f>+E13*0.5</f>
        <v>69.5</v>
      </c>
      <c r="E13" s="42">
        <v>139</v>
      </c>
      <c r="F13" s="42">
        <v>197</v>
      </c>
      <c r="G13" s="42">
        <v>309</v>
      </c>
      <c r="H13" s="42">
        <v>532</v>
      </c>
      <c r="I13" s="42">
        <v>665</v>
      </c>
      <c r="J13" s="42">
        <v>1111</v>
      </c>
      <c r="K13" s="42">
        <v>708</v>
      </c>
      <c r="L13" s="42">
        <v>1211</v>
      </c>
      <c r="M13" s="42">
        <v>3021</v>
      </c>
      <c r="N13" s="42">
        <v>4316</v>
      </c>
      <c r="O13" s="42">
        <v>5110</v>
      </c>
      <c r="P13" s="42">
        <v>5850</v>
      </c>
      <c r="Q13" s="42">
        <v>6190</v>
      </c>
      <c r="R13" s="42">
        <v>7260</v>
      </c>
      <c r="S13" s="42">
        <v>8200</v>
      </c>
      <c r="T13" s="42">
        <v>9540</v>
      </c>
      <c r="U13" s="42">
        <f>8509*EUR</f>
        <v>8594.09</v>
      </c>
      <c r="V13" s="42">
        <f>9402*EUR</f>
        <v>9496.02</v>
      </c>
      <c r="W13" s="42">
        <f>10256*EUR</f>
        <v>10358.56</v>
      </c>
      <c r="X13" s="42">
        <f>11575*EUR</f>
        <v>11690.75</v>
      </c>
      <c r="Y13" s="42">
        <f>10672*EUR</f>
        <v>10778.72</v>
      </c>
      <c r="Z13" s="42">
        <f>12538*EUR</f>
        <v>12663.380000000001</v>
      </c>
      <c r="AA13" s="42">
        <f>14260*EUR</f>
        <v>14402.6</v>
      </c>
      <c r="AB13" s="42">
        <f>16304*EUR</f>
        <v>16467.04</v>
      </c>
      <c r="AC13" s="42">
        <f>16897*EUR</f>
        <v>17065.97</v>
      </c>
      <c r="AD13" s="42">
        <f>17580*EUR</f>
        <v>17755.8</v>
      </c>
      <c r="AE13" s="42">
        <f>20805*EUR</f>
        <v>21013.05</v>
      </c>
      <c r="AF13" s="42">
        <f>22062*EUR</f>
        <v>22282.62</v>
      </c>
      <c r="AG13" s="42">
        <f>23461*EUR</f>
        <v>23695.61</v>
      </c>
      <c r="AH13" s="42">
        <f>24708*EUR</f>
        <v>24955.08</v>
      </c>
      <c r="AI13" s="42">
        <f>27553*EUR</f>
        <v>27828.53</v>
      </c>
      <c r="AJ13" s="42">
        <f>27338*EUR</f>
        <v>27611.38</v>
      </c>
      <c r="AK13" s="42">
        <v>27843</v>
      </c>
      <c r="AL13" s="88">
        <f>29520*EUR</f>
        <v>29815.200000000001</v>
      </c>
      <c r="AM13" s="88">
        <f>31207*EUR</f>
        <v>31519.07</v>
      </c>
      <c r="AN13" s="88">
        <f>34176*EUR</f>
        <v>34517.760000000002</v>
      </c>
      <c r="AO13" s="42">
        <f>+AN13*1.05</f>
        <v>36243.648000000001</v>
      </c>
      <c r="AP13" s="42">
        <f>+AO13*0.95</f>
        <v>34431.465599999996</v>
      </c>
      <c r="AQ13" s="42">
        <f t="shared" ref="AQ13:AT13" si="33">+AP13*0.95</f>
        <v>32709.892319999995</v>
      </c>
      <c r="AR13" s="42">
        <f t="shared" si="33"/>
        <v>31074.397703999995</v>
      </c>
      <c r="AS13" s="42">
        <f t="shared" si="33"/>
        <v>29520.677818799995</v>
      </c>
      <c r="AT13" s="42">
        <f t="shared" si="33"/>
        <v>28044.643927859994</v>
      </c>
    </row>
    <row r="14" spans="1:46" x14ac:dyDescent="0.25">
      <c r="A14" s="41">
        <f t="shared" si="31"/>
        <v>6</v>
      </c>
      <c r="B14" s="41" t="s">
        <v>254</v>
      </c>
      <c r="C14" s="41">
        <v>1911</v>
      </c>
      <c r="D14" s="42">
        <v>8000</v>
      </c>
      <c r="E14" s="42">
        <v>9000</v>
      </c>
      <c r="F14" s="42">
        <v>10250</v>
      </c>
      <c r="G14" s="42">
        <v>10524</v>
      </c>
      <c r="H14" s="42">
        <v>10300</v>
      </c>
      <c r="I14" s="42">
        <v>10150</v>
      </c>
      <c r="J14" s="42">
        <v>10750</v>
      </c>
      <c r="K14" s="42">
        <f>+L14/1.1</f>
        <v>9226.4462809917331</v>
      </c>
      <c r="L14" s="42">
        <f>+M14/1.1</f>
        <v>10149.090909090908</v>
      </c>
      <c r="M14" s="42">
        <v>11164</v>
      </c>
      <c r="N14" s="42">
        <v>11863</v>
      </c>
      <c r="O14" s="42">
        <v>12662</v>
      </c>
      <c r="P14" s="42">
        <v>12598</v>
      </c>
      <c r="Q14" s="42">
        <v>12939</v>
      </c>
      <c r="R14" s="42">
        <v>13074</v>
      </c>
      <c r="S14" s="42">
        <v>14311</v>
      </c>
      <c r="T14" s="42">
        <v>15100</v>
      </c>
      <c r="U14" s="42">
        <v>15753</v>
      </c>
      <c r="V14" s="42">
        <f>+U14*1.1</f>
        <v>17328.300000000003</v>
      </c>
      <c r="W14" s="42">
        <f>+V14*1.1</f>
        <v>19061.130000000005</v>
      </c>
      <c r="X14" s="42">
        <v>22100</v>
      </c>
      <c r="Y14" s="42">
        <f>+X14*1.01</f>
        <v>22321</v>
      </c>
      <c r="Z14" s="42">
        <v>22485</v>
      </c>
      <c r="AA14" s="42">
        <f>+Z14*1.05</f>
        <v>23609.25</v>
      </c>
      <c r="AB14" s="42">
        <f>+AA14*1.05</f>
        <v>24789.712500000001</v>
      </c>
      <c r="AC14" s="42">
        <v>25932</v>
      </c>
      <c r="AD14" s="42">
        <v>25400</v>
      </c>
      <c r="AE14" s="42">
        <v>22930</v>
      </c>
      <c r="AF14" s="42">
        <v>22710</v>
      </c>
      <c r="AG14" s="42">
        <v>22840</v>
      </c>
      <c r="AH14" s="42">
        <v>22210</v>
      </c>
      <c r="AI14" s="42">
        <v>22890</v>
      </c>
      <c r="AJ14" s="42">
        <v>22930</v>
      </c>
      <c r="AK14" s="42">
        <v>23430</v>
      </c>
      <c r="AL14" s="42">
        <v>25040</v>
      </c>
      <c r="AM14" s="42">
        <v>26308</v>
      </c>
      <c r="AN14" s="42">
        <v>27090</v>
      </c>
      <c r="AO14" s="42">
        <f>+AN14</f>
        <v>27090</v>
      </c>
      <c r="AP14" s="42">
        <f t="shared" ref="AP14:AT14" si="34">+AO14*0.95</f>
        <v>25735.5</v>
      </c>
      <c r="AQ14" s="42">
        <f t="shared" si="34"/>
        <v>24448.724999999999</v>
      </c>
      <c r="AR14" s="42">
        <f t="shared" si="34"/>
        <v>23226.288749999996</v>
      </c>
      <c r="AS14" s="42">
        <f t="shared" si="34"/>
        <v>22064.974312499995</v>
      </c>
      <c r="AT14" s="42">
        <f t="shared" si="34"/>
        <v>20961.725596874996</v>
      </c>
    </row>
    <row r="15" spans="1:46" x14ac:dyDescent="0.25">
      <c r="A15" s="41">
        <f t="shared" si="31"/>
        <v>7</v>
      </c>
      <c r="B15" s="41" t="s">
        <v>19</v>
      </c>
      <c r="C15" s="41">
        <v>1982</v>
      </c>
      <c r="D15" s="42">
        <v>84</v>
      </c>
      <c r="E15" s="42">
        <v>121</v>
      </c>
      <c r="F15" s="42">
        <v>304</v>
      </c>
      <c r="G15" s="42">
        <v>452</v>
      </c>
      <c r="H15" s="42">
        <v>266</v>
      </c>
      <c r="I15" s="42">
        <v>313.45699999999999</v>
      </c>
      <c r="J15" s="42">
        <v>676</v>
      </c>
      <c r="K15" s="42">
        <v>762</v>
      </c>
      <c r="L15" s="42">
        <v>787</v>
      </c>
      <c r="M15" s="42">
        <v>912</v>
      </c>
      <c r="N15" s="42">
        <v>896</v>
      </c>
      <c r="O15" s="42">
        <v>1020</v>
      </c>
      <c r="P15" s="42">
        <v>1270</v>
      </c>
      <c r="Q15" s="42">
        <v>1230</v>
      </c>
      <c r="R15" s="42">
        <v>1160</v>
      </c>
      <c r="S15" s="42">
        <v>1290</v>
      </c>
      <c r="T15" s="42">
        <v>1667</v>
      </c>
      <c r="U15" s="42">
        <v>1966</v>
      </c>
      <c r="V15" s="42">
        <v>2575</v>
      </c>
      <c r="W15" s="42">
        <v>3158</v>
      </c>
      <c r="X15" s="42">
        <v>3580</v>
      </c>
      <c r="Y15" s="42">
        <v>2946</v>
      </c>
      <c r="Z15" s="42">
        <v>3800</v>
      </c>
      <c r="AA15" s="42">
        <v>4216</v>
      </c>
      <c r="AB15" s="42">
        <v>4404</v>
      </c>
      <c r="AC15" s="42">
        <v>4055</v>
      </c>
      <c r="AD15" s="42">
        <v>4147</v>
      </c>
      <c r="AE15" s="42">
        <v>4796</v>
      </c>
      <c r="AF15" s="42">
        <v>5854</v>
      </c>
      <c r="AG15" s="42">
        <v>7302</v>
      </c>
      <c r="AH15" s="42">
        <v>9030</v>
      </c>
      <c r="AI15" s="42">
        <v>11171</v>
      </c>
      <c r="AJ15" s="42">
        <v>12868</v>
      </c>
      <c r="AK15" s="42">
        <v>15785</v>
      </c>
      <c r="AL15" s="42">
        <v>17606</v>
      </c>
      <c r="AM15" s="42">
        <v>19409</v>
      </c>
      <c r="AN15" s="42">
        <v>21505</v>
      </c>
      <c r="AO15" s="42">
        <v>22601</v>
      </c>
      <c r="AP15" s="42">
        <f>+AO15*1.03</f>
        <v>23279.03</v>
      </c>
      <c r="AQ15" s="42">
        <f>+AP15*1.03</f>
        <v>23977.400900000001</v>
      </c>
      <c r="AR15" s="42">
        <f>+AQ15*1.03</f>
        <v>24696.722927000003</v>
      </c>
      <c r="AS15" s="42">
        <f>+AR15*1.03</f>
        <v>25437.624614810004</v>
      </c>
      <c r="AT15" s="42">
        <f>+AS15*1.03</f>
        <v>26200.753353254306</v>
      </c>
    </row>
    <row r="16" spans="1:46" x14ac:dyDescent="0.25">
      <c r="A16" s="41">
        <f t="shared" si="31"/>
        <v>8</v>
      </c>
      <c r="B16" s="83" t="s">
        <v>26</v>
      </c>
      <c r="C16" s="83">
        <v>1983</v>
      </c>
      <c r="D16" s="42">
        <f t="shared" ref="D16:I16" si="35">+E16*0.7</f>
        <v>34.506451699999978</v>
      </c>
      <c r="E16" s="42">
        <f t="shared" si="35"/>
        <v>49.294930999999977</v>
      </c>
      <c r="F16" s="42">
        <f t="shared" si="35"/>
        <v>70.421329999999969</v>
      </c>
      <c r="G16" s="42">
        <f t="shared" si="35"/>
        <v>100.60189999999996</v>
      </c>
      <c r="H16" s="42">
        <f t="shared" si="35"/>
        <v>143.71699999999996</v>
      </c>
      <c r="I16" s="42">
        <f t="shared" si="35"/>
        <v>205.30999999999995</v>
      </c>
      <c r="J16" s="42">
        <f>+K16*0.7</f>
        <v>293.29999999999995</v>
      </c>
      <c r="K16" s="42">
        <v>419</v>
      </c>
      <c r="L16" s="42">
        <v>539</v>
      </c>
      <c r="M16" s="42">
        <v>598.92499999999995</v>
      </c>
      <c r="N16" s="42">
        <v>592.73599999999999</v>
      </c>
      <c r="O16" s="42">
        <v>847.6</v>
      </c>
      <c r="P16" s="42">
        <v>982</v>
      </c>
      <c r="Q16" s="42">
        <v>1096</v>
      </c>
      <c r="R16" s="42">
        <v>1312</v>
      </c>
      <c r="S16" s="42">
        <v>1651</v>
      </c>
      <c r="T16" s="42">
        <v>1868</v>
      </c>
      <c r="U16" s="42">
        <v>2038</v>
      </c>
      <c r="V16" s="42">
        <f>+U16*1.1</f>
        <v>2241.8000000000002</v>
      </c>
      <c r="W16" s="42">
        <f>+V16*1.1</f>
        <v>2465.9800000000005</v>
      </c>
      <c r="X16" s="42">
        <f>+W16*1.1</f>
        <v>2712.5780000000009</v>
      </c>
      <c r="Y16" s="42">
        <v>3109</v>
      </c>
      <c r="Z16" s="42">
        <v>3403</v>
      </c>
      <c r="AA16" s="42">
        <v>3449</v>
      </c>
      <c r="AB16" s="42">
        <v>3808</v>
      </c>
      <c r="AC16" s="42">
        <v>3946</v>
      </c>
      <c r="AD16" s="42">
        <v>4243</v>
      </c>
      <c r="AE16" s="42">
        <v>4192</v>
      </c>
      <c r="AF16" s="42">
        <v>4694</v>
      </c>
      <c r="AG16" s="42">
        <v>5196</v>
      </c>
      <c r="AH16" s="42">
        <v>6025</v>
      </c>
      <c r="AI16" s="42">
        <v>6784</v>
      </c>
      <c r="AJ16" s="42">
        <v>7679</v>
      </c>
      <c r="AK16" s="42">
        <v>9633</v>
      </c>
      <c r="AL16" s="42">
        <v>12726</v>
      </c>
      <c r="AM16" s="42">
        <v>14368</v>
      </c>
      <c r="AN16" s="42">
        <v>16285</v>
      </c>
      <c r="AO16" s="42">
        <v>18184</v>
      </c>
      <c r="AP16" s="42">
        <f>+AO16</f>
        <v>18184</v>
      </c>
      <c r="AQ16" s="42">
        <f>+AP16</f>
        <v>18184</v>
      </c>
      <c r="AR16" s="42">
        <f>+AQ16</f>
        <v>18184</v>
      </c>
      <c r="AS16" s="42">
        <f>+AR16</f>
        <v>18184</v>
      </c>
      <c r="AT16" s="42">
        <f>+AS16</f>
        <v>18184</v>
      </c>
    </row>
    <row r="17" spans="1:46" x14ac:dyDescent="0.25">
      <c r="A17" s="41">
        <f t="shared" si="31"/>
        <v>9</v>
      </c>
      <c r="B17" s="41" t="s">
        <v>33</v>
      </c>
      <c r="C17" s="41">
        <v>2010</v>
      </c>
      <c r="D17" s="92">
        <v>0</v>
      </c>
      <c r="E17" s="92">
        <v>0</v>
      </c>
      <c r="F17" s="92">
        <v>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0</v>
      </c>
      <c r="Q17" s="92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92">
        <v>0</v>
      </c>
      <c r="Y17" s="92">
        <v>0</v>
      </c>
      <c r="Z17" s="42">
        <f t="shared" ref="Z17:AB17" si="36">+AA17*0.7</f>
        <v>9.6039999999999974</v>
      </c>
      <c r="AA17" s="42">
        <f t="shared" si="36"/>
        <v>13.719999999999997</v>
      </c>
      <c r="AB17" s="42">
        <f t="shared" si="36"/>
        <v>19.599999999999998</v>
      </c>
      <c r="AC17" s="42">
        <f>+AD17*0.7</f>
        <v>28</v>
      </c>
      <c r="AD17" s="42">
        <v>40</v>
      </c>
      <c r="AE17" s="42">
        <v>200</v>
      </c>
      <c r="AF17" s="42">
        <v>450</v>
      </c>
      <c r="AG17" s="42">
        <v>1000</v>
      </c>
      <c r="AH17" s="42">
        <v>1500</v>
      </c>
      <c r="AI17" s="42">
        <v>2000</v>
      </c>
      <c r="AJ17" s="42">
        <v>7400</v>
      </c>
      <c r="AK17" s="42">
        <v>12000</v>
      </c>
      <c r="AL17" s="42">
        <v>14400</v>
      </c>
      <c r="AM17" s="42">
        <v>16000</v>
      </c>
      <c r="AN17" s="42">
        <f>+AM17*1.05</f>
        <v>16800</v>
      </c>
      <c r="AO17" s="42">
        <f>+AN17*1.05</f>
        <v>17640</v>
      </c>
      <c r="AP17" s="42">
        <f>+AO17*1.1</f>
        <v>19404</v>
      </c>
      <c r="AQ17" s="42">
        <f>+AP17*1.1</f>
        <v>21344.400000000001</v>
      </c>
      <c r="AR17" s="42">
        <f>+AQ17*1.1</f>
        <v>23478.840000000004</v>
      </c>
      <c r="AS17" s="42">
        <f>+AR17*1.1</f>
        <v>25826.724000000006</v>
      </c>
      <c r="AT17" s="42">
        <f>+AS17*1.1</f>
        <v>28409.396400000009</v>
      </c>
    </row>
    <row r="18" spans="1:46" x14ac:dyDescent="0.25">
      <c r="A18" s="41">
        <f t="shared" si="31"/>
        <v>10</v>
      </c>
      <c r="B18" s="41" t="s">
        <v>387</v>
      </c>
      <c r="C18" s="41">
        <v>2015</v>
      </c>
      <c r="D18" s="92">
        <v>0</v>
      </c>
      <c r="E18" s="92">
        <v>0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  <c r="AF18" s="92">
        <v>0</v>
      </c>
      <c r="AG18" s="92">
        <v>0</v>
      </c>
      <c r="AH18" s="92">
        <v>0</v>
      </c>
      <c r="AI18" s="92">
        <v>0</v>
      </c>
      <c r="AJ18" s="92">
        <v>0</v>
      </c>
      <c r="AK18" s="92">
        <v>0</v>
      </c>
      <c r="AL18" s="92">
        <v>0</v>
      </c>
      <c r="AM18" s="42">
        <v>2000</v>
      </c>
      <c r="AN18" s="42">
        <v>3700</v>
      </c>
      <c r="AO18" s="42">
        <v>13000</v>
      </c>
      <c r="AP18" s="42">
        <v>35000</v>
      </c>
      <c r="AQ18" s="42">
        <f>+AP18*2</f>
        <v>70000</v>
      </c>
      <c r="AR18" s="42">
        <v>140000</v>
      </c>
      <c r="AS18" s="42">
        <f>+AR18*1.6</f>
        <v>224000</v>
      </c>
      <c r="AT18" s="42">
        <f>+AS18*1.6</f>
        <v>358400</v>
      </c>
    </row>
    <row r="19" spans="1:46" x14ac:dyDescent="0.25">
      <c r="A19" s="41">
        <f t="shared" si="31"/>
        <v>11</v>
      </c>
      <c r="B19" s="83" t="s">
        <v>891</v>
      </c>
      <c r="C19" s="41">
        <v>1991</v>
      </c>
      <c r="D19" s="92">
        <v>0</v>
      </c>
      <c r="E19" s="92">
        <v>0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0</v>
      </c>
      <c r="Q19" s="92">
        <v>0</v>
      </c>
      <c r="R19" s="92">
        <v>0</v>
      </c>
      <c r="S19" s="92">
        <v>0</v>
      </c>
      <c r="T19" s="92">
        <v>0</v>
      </c>
      <c r="U19" s="92">
        <v>0</v>
      </c>
      <c r="V19" s="92">
        <v>0</v>
      </c>
      <c r="W19" s="92">
        <v>0</v>
      </c>
      <c r="X19" s="92">
        <v>0</v>
      </c>
      <c r="Y19" s="92">
        <v>0</v>
      </c>
      <c r="Z19" s="92">
        <v>0</v>
      </c>
      <c r="AA19" s="92">
        <v>0</v>
      </c>
      <c r="AB19" s="92">
        <v>0</v>
      </c>
      <c r="AC19" s="92">
        <v>0</v>
      </c>
      <c r="AD19" s="92">
        <v>0</v>
      </c>
      <c r="AE19" s="92">
        <v>0</v>
      </c>
      <c r="AF19" s="92">
        <v>0</v>
      </c>
      <c r="AG19" s="92">
        <v>0</v>
      </c>
      <c r="AH19" s="42">
        <v>1780</v>
      </c>
      <c r="AI19" s="42">
        <v>5156</v>
      </c>
      <c r="AJ19" s="42">
        <v>6621</v>
      </c>
      <c r="AK19" s="42">
        <v>7070</v>
      </c>
      <c r="AL19" s="42">
        <v>7390</v>
      </c>
      <c r="AM19" s="42">
        <v>7640</v>
      </c>
      <c r="AN19" s="42">
        <v>21480</v>
      </c>
      <c r="AO19" s="42">
        <v>24000</v>
      </c>
      <c r="AP19" s="42">
        <f>+AO19+1000</f>
        <v>25000</v>
      </c>
      <c r="AQ19" s="42">
        <f>+AP19+1000</f>
        <v>26000</v>
      </c>
      <c r="AR19" s="42">
        <f>+AQ19+1000</f>
        <v>27000</v>
      </c>
      <c r="AS19" s="42">
        <f>+AR19+1000</f>
        <v>28000</v>
      </c>
      <c r="AT19" s="42">
        <f>+AS19+1000</f>
        <v>29000</v>
      </c>
    </row>
    <row r="20" spans="1:46" x14ac:dyDescent="0.25">
      <c r="A20" s="41">
        <f t="shared" si="31"/>
        <v>12</v>
      </c>
      <c r="B20" s="41" t="s">
        <v>29</v>
      </c>
      <c r="C20" s="41">
        <v>2004</v>
      </c>
      <c r="D20" s="92">
        <v>0</v>
      </c>
      <c r="E20" s="92">
        <v>0</v>
      </c>
      <c r="F20" s="92">
        <v>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13</v>
      </c>
      <c r="X20" s="42">
        <v>200</v>
      </c>
      <c r="Y20" s="42">
        <v>500</v>
      </c>
      <c r="Z20" s="42">
        <v>43</v>
      </c>
      <c r="AA20" s="42">
        <v>93</v>
      </c>
      <c r="AB20" s="42">
        <v>244</v>
      </c>
      <c r="AC20" s="42">
        <v>425</v>
      </c>
      <c r="AD20" s="42">
        <v>683</v>
      </c>
      <c r="AE20" s="42">
        <v>1005</v>
      </c>
      <c r="AF20" s="42">
        <v>1391</v>
      </c>
      <c r="AG20" s="42">
        <v>1918</v>
      </c>
      <c r="AH20" s="42">
        <v>2609</v>
      </c>
      <c r="AI20" s="42">
        <v>3460</v>
      </c>
      <c r="AJ20" s="42">
        <v>4519</v>
      </c>
      <c r="AK20" s="42">
        <v>5896</v>
      </c>
      <c r="AL20" s="42">
        <v>7245</v>
      </c>
      <c r="AM20" s="42">
        <v>8971</v>
      </c>
      <c r="AN20" s="42">
        <v>10984</v>
      </c>
      <c r="AO20" s="42">
        <v>12060</v>
      </c>
      <c r="AP20" s="42">
        <f>+AO20*0.9</f>
        <v>10854</v>
      </c>
      <c r="AQ20" s="42">
        <f>+AP20*0.9</f>
        <v>9768.6</v>
      </c>
      <c r="AR20" s="42">
        <f>+AQ20*0.9</f>
        <v>8791.74</v>
      </c>
      <c r="AS20" s="42">
        <f t="shared" ref="AS20:AT20" si="37">+AR20*0.9</f>
        <v>7912.5659999999998</v>
      </c>
      <c r="AT20" s="42">
        <f t="shared" si="37"/>
        <v>7121.3094000000001</v>
      </c>
    </row>
    <row r="21" spans="1:46" x14ac:dyDescent="0.25">
      <c r="A21" s="41">
        <f t="shared" si="31"/>
        <v>13</v>
      </c>
      <c r="B21" s="83" t="s">
        <v>742</v>
      </c>
      <c r="C21" s="83">
        <v>1981</v>
      </c>
      <c r="D21" s="42">
        <f t="shared" ref="D21:I21" si="38">+E21*0.7</f>
        <v>12.353144999999994</v>
      </c>
      <c r="E21" s="42">
        <f t="shared" si="38"/>
        <v>17.647349999999992</v>
      </c>
      <c r="F21" s="42">
        <f t="shared" si="38"/>
        <v>25.210499999999993</v>
      </c>
      <c r="G21" s="42">
        <f t="shared" si="38"/>
        <v>36.014999999999993</v>
      </c>
      <c r="H21" s="42">
        <f t="shared" si="38"/>
        <v>51.449999999999996</v>
      </c>
      <c r="I21" s="42">
        <f t="shared" si="38"/>
        <v>73.5</v>
      </c>
      <c r="J21" s="42">
        <f>+K21*0.7</f>
        <v>105</v>
      </c>
      <c r="K21" s="42">
        <v>150</v>
      </c>
      <c r="L21" s="42">
        <v>1000</v>
      </c>
      <c r="M21" s="42">
        <v>2000</v>
      </c>
      <c r="N21" s="42">
        <v>3000</v>
      </c>
      <c r="O21" s="42">
        <v>4000</v>
      </c>
      <c r="P21" s="42">
        <v>5000</v>
      </c>
      <c r="Q21" s="42">
        <v>5200</v>
      </c>
      <c r="R21" s="42">
        <v>5600</v>
      </c>
      <c r="S21" s="42">
        <v>6000</v>
      </c>
      <c r="T21" s="42">
        <v>6400</v>
      </c>
      <c r="U21" s="42">
        <f t="shared" ref="U21:AA21" si="39">+T21*1.03</f>
        <v>6592</v>
      </c>
      <c r="V21" s="42">
        <f t="shared" si="39"/>
        <v>6789.76</v>
      </c>
      <c r="W21" s="42">
        <f t="shared" si="39"/>
        <v>6993.4528</v>
      </c>
      <c r="X21" s="42">
        <f t="shared" si="39"/>
        <v>7203.2563840000003</v>
      </c>
      <c r="Y21" s="42">
        <f t="shared" si="39"/>
        <v>7419.3540755200002</v>
      </c>
      <c r="Z21" s="42">
        <f t="shared" si="39"/>
        <v>7641.9346977856003</v>
      </c>
      <c r="AA21" s="42">
        <f t="shared" si="39"/>
        <v>7871.1927387191681</v>
      </c>
      <c r="AB21" s="42">
        <v>7900</v>
      </c>
      <c r="AC21" s="42">
        <f>+AB21*1.05</f>
        <v>8295</v>
      </c>
      <c r="AD21" s="42">
        <f>+AC21*1.05</f>
        <v>8709.75</v>
      </c>
      <c r="AE21" s="42">
        <f>+AD21*1.05</f>
        <v>9145.2375000000011</v>
      </c>
      <c r="AF21" s="42">
        <f>+AE21*1.05</f>
        <v>9602.4993750000012</v>
      </c>
      <c r="AG21" s="42">
        <f>+AF21*1.05</f>
        <v>10082.624343750002</v>
      </c>
      <c r="AH21" s="42">
        <v>10000</v>
      </c>
      <c r="AI21" s="42">
        <f t="shared" ref="AI21:AO21" si="40">+AH21*1.03</f>
        <v>10300</v>
      </c>
      <c r="AJ21" s="42">
        <f t="shared" si="40"/>
        <v>10609</v>
      </c>
      <c r="AK21" s="42">
        <f t="shared" si="40"/>
        <v>10927.27</v>
      </c>
      <c r="AL21" s="42">
        <f t="shared" si="40"/>
        <v>11255.088100000001</v>
      </c>
      <c r="AM21" s="42">
        <f t="shared" si="40"/>
        <v>11592.740743</v>
      </c>
      <c r="AN21" s="42">
        <f t="shared" si="40"/>
        <v>11940.52296529</v>
      </c>
      <c r="AO21" s="42">
        <f t="shared" si="40"/>
        <v>12298.7386542487</v>
      </c>
      <c r="AP21" s="42">
        <f t="shared" ref="AP21:AR21" si="41">+AO21*0.9</f>
        <v>11068.86478882383</v>
      </c>
      <c r="AQ21" s="42">
        <f t="shared" si="41"/>
        <v>9961.9783099414472</v>
      </c>
      <c r="AR21" s="42">
        <f t="shared" si="41"/>
        <v>8965.780478947303</v>
      </c>
      <c r="AS21" s="42">
        <f t="shared" ref="AS21:AT21" si="42">+AR21*0.9</f>
        <v>8069.202431052573</v>
      </c>
      <c r="AT21" s="42">
        <f t="shared" si="42"/>
        <v>7262.2821879473158</v>
      </c>
    </row>
    <row r="22" spans="1:46" x14ac:dyDescent="0.25">
      <c r="A22" s="41">
        <f t="shared" si="31"/>
        <v>14</v>
      </c>
      <c r="B22" s="43" t="s">
        <v>173</v>
      </c>
      <c r="C22" s="43">
        <v>1995</v>
      </c>
      <c r="D22" s="94">
        <v>0</v>
      </c>
      <c r="E22" s="94">
        <v>0</v>
      </c>
      <c r="F22" s="94">
        <v>0</v>
      </c>
      <c r="G22" s="94">
        <v>0</v>
      </c>
      <c r="H22" s="94">
        <v>0</v>
      </c>
      <c r="I22" s="94">
        <v>0</v>
      </c>
      <c r="J22" s="94">
        <v>0</v>
      </c>
      <c r="K22" s="94">
        <v>0</v>
      </c>
      <c r="L22" s="94">
        <v>0</v>
      </c>
      <c r="M22" s="94">
        <v>0</v>
      </c>
      <c r="N22" s="94">
        <v>0</v>
      </c>
      <c r="O22" s="94">
        <v>0</v>
      </c>
      <c r="P22" s="44">
        <v>50</v>
      </c>
      <c r="Q22" s="44">
        <v>80</v>
      </c>
      <c r="R22" s="44">
        <v>120</v>
      </c>
      <c r="S22" s="44">
        <v>160</v>
      </c>
      <c r="T22" s="44">
        <v>100</v>
      </c>
      <c r="U22" s="44">
        <v>160</v>
      </c>
      <c r="V22" s="44">
        <v>210</v>
      </c>
      <c r="W22" s="44">
        <v>240</v>
      </c>
      <c r="X22" s="44">
        <v>330</v>
      </c>
      <c r="Y22" s="44">
        <v>430</v>
      </c>
      <c r="Z22" s="42">
        <v>630</v>
      </c>
      <c r="AA22" s="42">
        <v>770</v>
      </c>
      <c r="AB22" s="42">
        <v>890</v>
      </c>
      <c r="AC22" s="42">
        <v>1210</v>
      </c>
      <c r="AD22" s="42">
        <v>1660</v>
      </c>
      <c r="AE22" s="42">
        <v>1830</v>
      </c>
      <c r="AF22" s="42">
        <v>2120</v>
      </c>
      <c r="AG22" s="42">
        <v>2479</v>
      </c>
      <c r="AH22" s="42">
        <v>3061</v>
      </c>
      <c r="AI22" s="42">
        <v>3489</v>
      </c>
      <c r="AJ22" s="42">
        <v>3969</v>
      </c>
      <c r="AK22" s="42">
        <v>5107</v>
      </c>
      <c r="AL22" s="42">
        <v>6622</v>
      </c>
      <c r="AM22" s="42">
        <v>8407</v>
      </c>
      <c r="AN22" s="42">
        <v>10066</v>
      </c>
      <c r="AO22" s="42">
        <v>10360</v>
      </c>
      <c r="AP22" s="42">
        <f t="shared" ref="AP22:AR22" si="43">+AO22*0.9</f>
        <v>9324</v>
      </c>
      <c r="AQ22" s="42">
        <f t="shared" si="43"/>
        <v>8391.6</v>
      </c>
      <c r="AR22" s="42">
        <f t="shared" si="43"/>
        <v>7552.4400000000005</v>
      </c>
      <c r="AS22" s="42">
        <f t="shared" ref="AS22:AT22" si="44">+AR22*0.9</f>
        <v>6797.1960000000008</v>
      </c>
      <c r="AT22" s="42">
        <f t="shared" si="44"/>
        <v>6117.4764000000005</v>
      </c>
    </row>
    <row r="23" spans="1:46" x14ac:dyDescent="0.25">
      <c r="A23" s="41">
        <f t="shared" si="31"/>
        <v>15</v>
      </c>
      <c r="B23" s="83" t="s">
        <v>46</v>
      </c>
      <c r="C23" s="83">
        <v>1982</v>
      </c>
      <c r="D23" s="42"/>
      <c r="E23" s="42"/>
      <c r="F23" s="42"/>
      <c r="G23" s="42"/>
      <c r="H23" s="42"/>
      <c r="I23" s="42"/>
      <c r="J23" s="42"/>
      <c r="K23" s="42">
        <v>455</v>
      </c>
      <c r="L23" s="42">
        <v>534</v>
      </c>
      <c r="M23" s="42">
        <v>497</v>
      </c>
      <c r="N23" s="42">
        <v>769</v>
      </c>
      <c r="O23" s="42">
        <v>894</v>
      </c>
      <c r="P23" s="42">
        <v>848</v>
      </c>
      <c r="Q23" s="42">
        <v>936</v>
      </c>
      <c r="R23" s="42">
        <v>947</v>
      </c>
      <c r="S23" s="42">
        <v>825</v>
      </c>
      <c r="T23" s="42">
        <v>952</v>
      </c>
      <c r="U23" s="42">
        <v>1234</v>
      </c>
      <c r="V23" s="42">
        <v>1480</v>
      </c>
      <c r="W23" s="42">
        <v>2170</v>
      </c>
      <c r="X23" s="42">
        <v>2310</v>
      </c>
      <c r="Y23" s="42">
        <v>1710</v>
      </c>
      <c r="Z23" s="42">
        <v>1952</v>
      </c>
      <c r="AA23" s="42">
        <v>2216</v>
      </c>
      <c r="AB23" s="42">
        <v>2312</v>
      </c>
      <c r="AC23" s="42">
        <v>2274</v>
      </c>
      <c r="AD23" s="42">
        <v>2512</v>
      </c>
      <c r="AE23" s="42">
        <v>2503</v>
      </c>
      <c r="AF23" s="42">
        <v>2504</v>
      </c>
      <c r="AG23" s="42">
        <v>2031</v>
      </c>
      <c r="AH23" s="42">
        <v>2057</v>
      </c>
      <c r="AI23" s="42">
        <v>2570</v>
      </c>
      <c r="AJ23" s="42">
        <v>3790</v>
      </c>
      <c r="AK23" s="42">
        <v>4386</v>
      </c>
      <c r="AL23" s="42">
        <v>4386</v>
      </c>
      <c r="AM23" s="42">
        <v>5005</v>
      </c>
      <c r="AN23" s="42">
        <v>5497</v>
      </c>
      <c r="AO23" s="42">
        <v>6131</v>
      </c>
      <c r="AP23" s="42">
        <f t="shared" ref="AP23:AR24" si="45">+AO23</f>
        <v>6131</v>
      </c>
      <c r="AQ23" s="42">
        <f t="shared" si="45"/>
        <v>6131</v>
      </c>
      <c r="AR23" s="42">
        <f t="shared" si="45"/>
        <v>6131</v>
      </c>
      <c r="AS23" s="42">
        <f t="shared" ref="AS23:AT23" si="46">+AR23</f>
        <v>6131</v>
      </c>
      <c r="AT23" s="42">
        <f t="shared" si="46"/>
        <v>6131</v>
      </c>
    </row>
    <row r="24" spans="1:46" x14ac:dyDescent="0.25">
      <c r="A24" s="41">
        <f t="shared" si="31"/>
        <v>16</v>
      </c>
      <c r="B24" s="41" t="s">
        <v>402</v>
      </c>
      <c r="C24" s="41">
        <v>1988</v>
      </c>
      <c r="D24" s="42">
        <v>79</v>
      </c>
      <c r="E24" s="42">
        <v>120</v>
      </c>
      <c r="F24" s="42">
        <v>185</v>
      </c>
      <c r="G24" s="42">
        <v>380</v>
      </c>
      <c r="H24" s="42">
        <v>419</v>
      </c>
      <c r="I24" s="42">
        <v>369</v>
      </c>
      <c r="J24" s="42">
        <v>429</v>
      </c>
      <c r="K24" s="42">
        <v>742</v>
      </c>
      <c r="L24" s="42">
        <v>740</v>
      </c>
      <c r="M24" s="42">
        <v>910</v>
      </c>
      <c r="N24" s="42">
        <v>1260</v>
      </c>
      <c r="O24" s="42">
        <v>1090</v>
      </c>
      <c r="P24" s="42">
        <v>1270</v>
      </c>
      <c r="Q24" s="42">
        <v>1430</v>
      </c>
      <c r="R24" s="42">
        <v>1290</v>
      </c>
      <c r="S24" s="42">
        <v>1120</v>
      </c>
      <c r="T24" s="42">
        <v>1190</v>
      </c>
      <c r="U24" s="42">
        <v>1320</v>
      </c>
      <c r="V24" s="42">
        <v>1480</v>
      </c>
      <c r="W24" s="42">
        <v>1610</v>
      </c>
      <c r="X24" s="42">
        <v>1030</v>
      </c>
      <c r="Y24" s="42">
        <v>853</v>
      </c>
      <c r="Z24" s="42">
        <v>936</v>
      </c>
      <c r="AA24" s="42">
        <v>1150</v>
      </c>
      <c r="AB24" s="42">
        <v>1326</v>
      </c>
      <c r="AC24" s="42">
        <v>1460</v>
      </c>
      <c r="AD24" s="42">
        <v>1581</v>
      </c>
      <c r="AE24" s="42">
        <v>1702</v>
      </c>
      <c r="AF24" s="42">
        <v>1816</v>
      </c>
      <c r="AG24" s="42">
        <v>1943</v>
      </c>
      <c r="AH24" s="42">
        <v>2138</v>
      </c>
      <c r="AI24" s="42">
        <v>2336</v>
      </c>
      <c r="AJ24" s="42">
        <v>2683</v>
      </c>
      <c r="AK24" s="42">
        <v>2988</v>
      </c>
      <c r="AL24" s="42">
        <v>3562</v>
      </c>
      <c r="AM24" s="42">
        <v>4090</v>
      </c>
      <c r="AN24" s="42">
        <v>4641</v>
      </c>
      <c r="AO24" s="42">
        <v>5089</v>
      </c>
      <c r="AP24" s="42">
        <f t="shared" si="45"/>
        <v>5089</v>
      </c>
      <c r="AQ24" s="42">
        <f t="shared" si="45"/>
        <v>5089</v>
      </c>
      <c r="AR24" s="42">
        <f t="shared" si="45"/>
        <v>5089</v>
      </c>
      <c r="AS24" s="42">
        <f t="shared" ref="AS24:AT24" si="47">+AR24</f>
        <v>5089</v>
      </c>
      <c r="AT24" s="42">
        <f t="shared" si="47"/>
        <v>5089</v>
      </c>
    </row>
    <row r="25" spans="1:46" x14ac:dyDescent="0.25">
      <c r="A25" s="41">
        <f t="shared" si="31"/>
        <v>17</v>
      </c>
      <c r="B25" s="41" t="s">
        <v>50</v>
      </c>
      <c r="C25" s="41">
        <v>2005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853</v>
      </c>
      <c r="Z25" s="42">
        <v>936</v>
      </c>
      <c r="AA25" s="42">
        <v>1150</v>
      </c>
      <c r="AB25" s="42">
        <v>1326</v>
      </c>
      <c r="AC25" s="42">
        <v>1460</v>
      </c>
      <c r="AD25" s="42">
        <v>1581</v>
      </c>
      <c r="AE25" s="42">
        <v>1702</v>
      </c>
      <c r="AF25" s="42">
        <v>1816</v>
      </c>
      <c r="AG25" s="42">
        <v>1943</v>
      </c>
      <c r="AH25" s="42">
        <v>2138</v>
      </c>
      <c r="AI25" s="42">
        <v>2336</v>
      </c>
      <c r="AJ25" s="42">
        <v>2683</v>
      </c>
      <c r="AK25" s="42">
        <v>2988</v>
      </c>
      <c r="AL25" s="42">
        <v>3562</v>
      </c>
      <c r="AM25" s="42">
        <v>4090</v>
      </c>
      <c r="AN25" s="42">
        <v>4641</v>
      </c>
      <c r="AO25" s="42">
        <v>5089</v>
      </c>
      <c r="AP25" s="42">
        <f t="shared" ref="AP25:AR27" si="48">+AO25*0.9</f>
        <v>4580.1000000000004</v>
      </c>
      <c r="AQ25" s="42">
        <f t="shared" si="48"/>
        <v>4122.09</v>
      </c>
      <c r="AR25" s="42">
        <f t="shared" si="48"/>
        <v>3709.8810000000003</v>
      </c>
      <c r="AS25" s="42">
        <f t="shared" ref="AS25:AT25" si="49">+AR25*0.9</f>
        <v>3338.8929000000003</v>
      </c>
      <c r="AT25" s="42">
        <f t="shared" si="49"/>
        <v>3005.0036100000002</v>
      </c>
    </row>
    <row r="26" spans="1:46" x14ac:dyDescent="0.25">
      <c r="A26" s="41">
        <f t="shared" si="31"/>
        <v>18</v>
      </c>
      <c r="B26" s="41" t="s">
        <v>40</v>
      </c>
      <c r="C26" s="41">
        <v>2002</v>
      </c>
      <c r="D26" s="92">
        <v>0</v>
      </c>
      <c r="E26" s="92">
        <v>0</v>
      </c>
      <c r="F26" s="92">
        <v>0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42">
        <v>1</v>
      </c>
      <c r="S26" s="42">
        <v>5</v>
      </c>
      <c r="T26" s="42">
        <v>15</v>
      </c>
      <c r="U26" s="42">
        <v>100</v>
      </c>
      <c r="V26" s="42">
        <v>149</v>
      </c>
      <c r="W26" s="42">
        <v>215</v>
      </c>
      <c r="X26" s="42">
        <v>320</v>
      </c>
      <c r="Y26" s="42">
        <v>457</v>
      </c>
      <c r="Z26" s="42">
        <v>627</v>
      </c>
      <c r="AA26" s="42">
        <v>771</v>
      </c>
      <c r="AB26" s="42">
        <v>890</v>
      </c>
      <c r="AC26" s="42">
        <f>+AB26*1.12</f>
        <v>996.80000000000007</v>
      </c>
      <c r="AD26" s="42">
        <f>+AC26*1.12</f>
        <v>1116.4160000000002</v>
      </c>
      <c r="AE26" s="42">
        <f t="shared" ref="AE26:AJ26" si="50">+AD26*1.1</f>
        <v>1228.0576000000003</v>
      </c>
      <c r="AF26" s="42">
        <f t="shared" si="50"/>
        <v>1350.8633600000005</v>
      </c>
      <c r="AG26" s="42">
        <f t="shared" si="50"/>
        <v>1485.9496960000006</v>
      </c>
      <c r="AH26" s="42">
        <f t="shared" si="50"/>
        <v>1634.5446656000008</v>
      </c>
      <c r="AI26" s="42">
        <f t="shared" si="50"/>
        <v>1797.999132160001</v>
      </c>
      <c r="AJ26" s="42">
        <f t="shared" si="50"/>
        <v>1977.7990453760012</v>
      </c>
      <c r="AK26" s="42">
        <v>2100</v>
      </c>
      <c r="AL26" s="42">
        <v>2803</v>
      </c>
      <c r="AM26" s="42">
        <v>3535</v>
      </c>
      <c r="AN26" s="42">
        <v>4359</v>
      </c>
      <c r="AO26" s="42">
        <v>4963</v>
      </c>
      <c r="AP26" s="42">
        <f t="shared" si="48"/>
        <v>4466.7</v>
      </c>
      <c r="AQ26" s="42">
        <f t="shared" si="48"/>
        <v>4020.0299999999997</v>
      </c>
      <c r="AR26" s="42">
        <f t="shared" si="48"/>
        <v>3618.027</v>
      </c>
      <c r="AS26" s="42">
        <f t="shared" ref="AS26:AT26" si="51">+AR26*0.9</f>
        <v>3256.2243000000003</v>
      </c>
      <c r="AT26" s="42">
        <f t="shared" si="51"/>
        <v>2930.6018700000004</v>
      </c>
    </row>
    <row r="27" spans="1:46" x14ac:dyDescent="0.25">
      <c r="A27" s="41">
        <f t="shared" si="31"/>
        <v>19</v>
      </c>
      <c r="B27" s="41" t="s">
        <v>293</v>
      </c>
      <c r="C27" s="41">
        <v>2011</v>
      </c>
      <c r="D27" s="92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2">
        <v>0</v>
      </c>
      <c r="AC27" s="92">
        <v>0</v>
      </c>
      <c r="AD27" s="42">
        <v>0</v>
      </c>
      <c r="AE27" s="42">
        <v>0</v>
      </c>
      <c r="AF27" s="42">
        <v>0</v>
      </c>
      <c r="AG27" s="42">
        <v>61</v>
      </c>
      <c r="AH27" s="42">
        <v>152</v>
      </c>
      <c r="AI27" s="42">
        <v>331</v>
      </c>
      <c r="AJ27" s="42">
        <v>623</v>
      </c>
      <c r="AK27" s="42">
        <v>2651</v>
      </c>
      <c r="AL27" s="42">
        <v>4100</v>
      </c>
      <c r="AM27" s="42">
        <v>4393</v>
      </c>
      <c r="AN27" s="42">
        <v>4527</v>
      </c>
      <c r="AO27" s="42">
        <v>4665</v>
      </c>
      <c r="AP27" s="42">
        <f t="shared" si="48"/>
        <v>4198.5</v>
      </c>
      <c r="AQ27" s="42">
        <f t="shared" si="48"/>
        <v>3778.65</v>
      </c>
      <c r="AR27" s="42">
        <f t="shared" si="48"/>
        <v>3400.7850000000003</v>
      </c>
      <c r="AS27" s="42">
        <f t="shared" ref="AS27:AT27" si="52">+AR27*0.9</f>
        <v>3060.7065000000002</v>
      </c>
      <c r="AT27" s="42">
        <f t="shared" si="52"/>
        <v>2754.6358500000001</v>
      </c>
    </row>
    <row r="28" spans="1:46" x14ac:dyDescent="0.25">
      <c r="A28" s="41">
        <f t="shared" si="31"/>
        <v>20</v>
      </c>
      <c r="B28" s="83" t="s">
        <v>148</v>
      </c>
      <c r="C28" s="83">
        <v>2003</v>
      </c>
      <c r="D28" s="95">
        <v>0</v>
      </c>
      <c r="E28" s="95">
        <v>0</v>
      </c>
      <c r="F28" s="95">
        <v>0</v>
      </c>
      <c r="G28" s="95">
        <v>0</v>
      </c>
      <c r="H28" s="95">
        <v>0</v>
      </c>
      <c r="I28" s="95">
        <v>0</v>
      </c>
      <c r="J28" s="95">
        <v>0</v>
      </c>
      <c r="K28" s="95">
        <v>0</v>
      </c>
      <c r="L28" s="95">
        <v>0</v>
      </c>
      <c r="M28" s="95">
        <v>0</v>
      </c>
      <c r="N28" s="95">
        <v>0</v>
      </c>
      <c r="O28" s="95">
        <v>0</v>
      </c>
      <c r="P28" s="95">
        <v>0</v>
      </c>
      <c r="Q28" s="95">
        <v>0</v>
      </c>
      <c r="R28" s="95">
        <v>0</v>
      </c>
      <c r="S28" s="95">
        <v>0</v>
      </c>
      <c r="T28" s="95">
        <v>0</v>
      </c>
      <c r="U28" s="95">
        <v>0</v>
      </c>
      <c r="V28" s="95">
        <v>0</v>
      </c>
      <c r="W28" s="95">
        <v>0</v>
      </c>
      <c r="X28" s="95">
        <v>0</v>
      </c>
      <c r="Y28" s="95">
        <v>0</v>
      </c>
      <c r="Z28" s="95">
        <v>0</v>
      </c>
      <c r="AA28" s="95">
        <v>0</v>
      </c>
      <c r="AB28" s="95">
        <v>0</v>
      </c>
      <c r="AC28" s="95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595</v>
      </c>
      <c r="AI28" s="42">
        <v>743</v>
      </c>
      <c r="AJ28" s="42">
        <v>1093</v>
      </c>
      <c r="AK28" s="42">
        <v>1542</v>
      </c>
      <c r="AL28" s="42">
        <v>1906</v>
      </c>
      <c r="AM28" s="42">
        <v>2225</v>
      </c>
      <c r="AN28" s="42">
        <v>2866</v>
      </c>
      <c r="AO28" s="42">
        <v>4000</v>
      </c>
      <c r="AP28" s="42">
        <f>+AO28*2</f>
        <v>8000</v>
      </c>
      <c r="AQ28" s="42">
        <f>+AP28*2</f>
        <v>16000</v>
      </c>
      <c r="AR28" s="42">
        <f>+AQ28*2</f>
        <v>32000</v>
      </c>
      <c r="AS28" s="42">
        <f>+AR28*2</f>
        <v>64000</v>
      </c>
      <c r="AT28" s="42">
        <f>+AS28*1.5</f>
        <v>96000</v>
      </c>
    </row>
    <row r="29" spans="1:46" x14ac:dyDescent="0.25">
      <c r="A29" s="41">
        <f t="shared" si="31"/>
        <v>21</v>
      </c>
      <c r="B29" s="42" t="s">
        <v>44</v>
      </c>
      <c r="C29" s="83">
        <v>2012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>
        <v>0</v>
      </c>
      <c r="AB29" s="92">
        <v>0</v>
      </c>
      <c r="AC29" s="92">
        <v>0</v>
      </c>
      <c r="AD29" s="92">
        <v>0</v>
      </c>
      <c r="AE29" s="92">
        <v>0</v>
      </c>
      <c r="AF29" s="92">
        <v>0</v>
      </c>
      <c r="AG29" s="42">
        <v>0</v>
      </c>
      <c r="AH29" s="42">
        <v>0</v>
      </c>
      <c r="AI29" s="42">
        <v>100</v>
      </c>
      <c r="AJ29" s="42">
        <v>265</v>
      </c>
      <c r="AK29" s="42">
        <v>592</v>
      </c>
      <c r="AL29" s="42">
        <v>1219</v>
      </c>
      <c r="AM29" s="42">
        <v>2066</v>
      </c>
      <c r="AN29" s="42">
        <v>2806</v>
      </c>
      <c r="AO29" s="42">
        <v>3626</v>
      </c>
      <c r="AP29" s="42">
        <f>+AO29*1.3</f>
        <v>4713.8</v>
      </c>
      <c r="AQ29" s="42">
        <f>+AP29*1.3</f>
        <v>6127.9400000000005</v>
      </c>
      <c r="AR29" s="42">
        <f>+AQ29*1.3</f>
        <v>7966.322000000001</v>
      </c>
      <c r="AS29" s="42">
        <f>+AR29*1.3</f>
        <v>10356.218600000002</v>
      </c>
      <c r="AT29" s="42">
        <f>+AS29*1.3</f>
        <v>13463.084180000003</v>
      </c>
    </row>
    <row r="30" spans="1:46" x14ac:dyDescent="0.25">
      <c r="A30" s="41">
        <f t="shared" si="31"/>
        <v>22</v>
      </c>
      <c r="B30" s="41" t="s">
        <v>171</v>
      </c>
      <c r="C30" s="41">
        <v>2007</v>
      </c>
      <c r="D30" s="92">
        <v>0</v>
      </c>
      <c r="E30" s="92">
        <v>0</v>
      </c>
      <c r="F30" s="92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2">
        <v>0</v>
      </c>
      <c r="O30" s="92">
        <v>0</v>
      </c>
      <c r="P30" s="92">
        <v>0</v>
      </c>
      <c r="Q30" s="92">
        <v>0</v>
      </c>
      <c r="R30" s="92">
        <v>0</v>
      </c>
      <c r="S30" s="92">
        <v>0</v>
      </c>
      <c r="T30" s="92">
        <v>0</v>
      </c>
      <c r="U30" s="92">
        <v>0</v>
      </c>
      <c r="V30" s="92">
        <v>0</v>
      </c>
      <c r="W30" s="92">
        <v>0</v>
      </c>
      <c r="X30" s="92">
        <v>0</v>
      </c>
      <c r="Y30" s="92">
        <v>0</v>
      </c>
      <c r="Z30" s="9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313</v>
      </c>
      <c r="AF30" s="42">
        <v>409</v>
      </c>
      <c r="AG30" s="42">
        <v>551</v>
      </c>
      <c r="AH30" s="42">
        <v>691</v>
      </c>
      <c r="AI30" s="42">
        <v>862</v>
      </c>
      <c r="AJ30" s="42">
        <v>1104</v>
      </c>
      <c r="AK30" s="42">
        <v>1465</v>
      </c>
      <c r="AL30" s="42">
        <v>1851</v>
      </c>
      <c r="AM30" s="42">
        <v>2155</v>
      </c>
      <c r="AN30" s="42">
        <v>2364</v>
      </c>
      <c r="AO30" s="42">
        <f>+AN30*1.1</f>
        <v>2600.4</v>
      </c>
      <c r="AP30" s="42">
        <f>+AO30*0.9</f>
        <v>2340.36</v>
      </c>
      <c r="AQ30" s="42">
        <f t="shared" ref="AQ30:AT30" si="53">+AP30*0.9</f>
        <v>2106.3240000000001</v>
      </c>
      <c r="AR30" s="42">
        <f t="shared" si="53"/>
        <v>1895.6916000000001</v>
      </c>
      <c r="AS30" s="42">
        <f t="shared" si="53"/>
        <v>1706.1224400000001</v>
      </c>
      <c r="AT30" s="42">
        <f t="shared" si="53"/>
        <v>1535.5101960000002</v>
      </c>
    </row>
    <row r="31" spans="1:46" x14ac:dyDescent="0.25">
      <c r="A31" s="41">
        <f t="shared" si="31"/>
        <v>23</v>
      </c>
      <c r="B31" s="83" t="s">
        <v>260</v>
      </c>
      <c r="C31" s="83">
        <v>1949</v>
      </c>
      <c r="D31" s="42">
        <v>1600</v>
      </c>
      <c r="E31" s="42">
        <v>1600</v>
      </c>
      <c r="F31" s="42">
        <v>1650</v>
      </c>
      <c r="G31" s="42">
        <v>1700</v>
      </c>
      <c r="H31" s="42">
        <v>1940</v>
      </c>
      <c r="I31" s="42">
        <v>2220</v>
      </c>
      <c r="J31" s="42">
        <v>2470</v>
      </c>
      <c r="K31" s="42">
        <v>3900</v>
      </c>
      <c r="L31" s="42">
        <v>4390</v>
      </c>
      <c r="M31" s="42">
        <v>5190</v>
      </c>
      <c r="N31" s="42">
        <v>5820</v>
      </c>
      <c r="O31" s="42">
        <v>6270</v>
      </c>
      <c r="P31" s="42">
        <v>6990</v>
      </c>
      <c r="Q31" s="42">
        <v>7040</v>
      </c>
      <c r="R31" s="42">
        <v>7360</v>
      </c>
      <c r="S31" s="42">
        <v>8050</v>
      </c>
      <c r="T31" s="42">
        <v>8460</v>
      </c>
      <c r="U31" s="42">
        <v>8640</v>
      </c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</row>
    <row r="32" spans="1:46" x14ac:dyDescent="0.25">
      <c r="A32" s="41">
        <f t="shared" si="31"/>
        <v>24</v>
      </c>
      <c r="B32" s="41" t="s">
        <v>52</v>
      </c>
      <c r="C32" s="41">
        <v>2010</v>
      </c>
      <c r="D32" s="92">
        <v>0</v>
      </c>
      <c r="E32" s="92">
        <v>0</v>
      </c>
      <c r="F32" s="92">
        <v>0</v>
      </c>
      <c r="G32" s="92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101</v>
      </c>
      <c r="AH32" s="42">
        <v>198</v>
      </c>
      <c r="AI32" s="42">
        <v>363</v>
      </c>
      <c r="AJ32" s="42">
        <v>603</v>
      </c>
      <c r="AK32" s="42">
        <v>1029</v>
      </c>
      <c r="AL32" s="42">
        <v>1675</v>
      </c>
      <c r="AM32" s="42">
        <v>2128</v>
      </c>
      <c r="AN32" s="42">
        <v>2684</v>
      </c>
      <c r="AO32" s="42">
        <v>2830</v>
      </c>
      <c r="AP32" s="42">
        <f t="shared" ref="AP32:AT32" si="54">+AO32*0.9</f>
        <v>2547</v>
      </c>
      <c r="AQ32" s="42">
        <f t="shared" si="54"/>
        <v>2292.3000000000002</v>
      </c>
      <c r="AR32" s="42">
        <f t="shared" si="54"/>
        <v>2063.0700000000002</v>
      </c>
      <c r="AS32" s="42">
        <f t="shared" si="54"/>
        <v>1856.7630000000001</v>
      </c>
      <c r="AT32" s="42">
        <f t="shared" si="54"/>
        <v>1671.0867000000001</v>
      </c>
    </row>
    <row r="33" spans="1:46" x14ac:dyDescent="0.25">
      <c r="A33" s="41">
        <f t="shared" si="31"/>
        <v>25</v>
      </c>
      <c r="B33" s="83" t="s">
        <v>407</v>
      </c>
      <c r="C33" s="83">
        <v>1987</v>
      </c>
      <c r="D33" s="42">
        <v>1</v>
      </c>
      <c r="E33" s="42">
        <v>2</v>
      </c>
      <c r="F33" s="42">
        <v>6</v>
      </c>
      <c r="G33" s="42">
        <v>17</v>
      </c>
      <c r="H33" s="42">
        <v>175</v>
      </c>
      <c r="I33" s="42">
        <v>320</v>
      </c>
      <c r="J33" s="42">
        <v>575</v>
      </c>
      <c r="K33" s="42">
        <v>575</v>
      </c>
      <c r="L33" s="42">
        <f>+K33*1.3</f>
        <v>747.5</v>
      </c>
      <c r="M33" s="42">
        <f>+L33*1.3</f>
        <v>971.75</v>
      </c>
      <c r="N33" s="42">
        <f>+M33*1.3</f>
        <v>1263.2750000000001</v>
      </c>
      <c r="O33" s="42">
        <v>1429.146</v>
      </c>
      <c r="P33" s="42">
        <v>1736.473</v>
      </c>
      <c r="Q33" s="42">
        <v>2073.2530000000002</v>
      </c>
      <c r="R33" s="42">
        <v>2200</v>
      </c>
      <c r="S33" s="42">
        <v>2500</v>
      </c>
      <c r="T33" s="42">
        <v>2800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2128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</row>
    <row r="34" spans="1:46" x14ac:dyDescent="0.25">
      <c r="A34" s="41">
        <f t="shared" si="31"/>
        <v>26</v>
      </c>
      <c r="B34" s="83" t="s">
        <v>408</v>
      </c>
      <c r="C34" s="83">
        <v>1993</v>
      </c>
      <c r="D34" s="95">
        <v>0</v>
      </c>
      <c r="E34" s="95">
        <v>0</v>
      </c>
      <c r="F34" s="95">
        <v>0</v>
      </c>
      <c r="G34" s="95">
        <v>0</v>
      </c>
      <c r="H34" s="95">
        <v>0</v>
      </c>
      <c r="I34" s="88"/>
      <c r="J34" s="88"/>
      <c r="K34" s="88">
        <v>39</v>
      </c>
      <c r="L34" s="88">
        <v>126</v>
      </c>
      <c r="M34" s="88">
        <v>403</v>
      </c>
      <c r="N34" s="88">
        <v>790</v>
      </c>
      <c r="O34" s="88">
        <v>1449</v>
      </c>
      <c r="P34" s="88">
        <v>2048</v>
      </c>
      <c r="Q34" s="42">
        <v>2049</v>
      </c>
      <c r="R34" s="42">
        <v>883</v>
      </c>
      <c r="S34" s="42">
        <v>666</v>
      </c>
      <c r="T34" s="42">
        <v>1340</v>
      </c>
      <c r="U34" s="88">
        <v>1799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</row>
    <row r="35" spans="1:46" x14ac:dyDescent="0.25">
      <c r="A35" s="41">
        <f t="shared" si="31"/>
        <v>27</v>
      </c>
      <c r="B35" s="83" t="s">
        <v>340</v>
      </c>
      <c r="C35" s="83">
        <v>2004</v>
      </c>
      <c r="D35" s="92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381</v>
      </c>
      <c r="AI35" s="42">
        <v>542</v>
      </c>
      <c r="AJ35" s="42">
        <v>772</v>
      </c>
      <c r="AK35" s="42">
        <v>1111</v>
      </c>
      <c r="AL35" s="42">
        <v>1391</v>
      </c>
      <c r="AM35" s="42">
        <v>2187</v>
      </c>
      <c r="AN35" s="42">
        <v>1813</v>
      </c>
      <c r="AO35" s="42">
        <v>1780</v>
      </c>
      <c r="AP35" s="42">
        <f>+AO35*1.03</f>
        <v>1833.4</v>
      </c>
      <c r="AQ35" s="42">
        <f>+AP35*1.03</f>
        <v>1888.402</v>
      </c>
      <c r="AR35" s="42">
        <f>+AQ35*1.03</f>
        <v>1945.0540600000002</v>
      </c>
      <c r="AS35" s="42">
        <f>+AR35*1.03</f>
        <v>2003.4056818000001</v>
      </c>
      <c r="AT35" s="42">
        <f>+AS35*1.03</f>
        <v>2063.5078522540002</v>
      </c>
    </row>
    <row r="36" spans="1:46" x14ac:dyDescent="0.25">
      <c r="A36" s="41">
        <f t="shared" si="31"/>
        <v>28</v>
      </c>
      <c r="B36" s="83" t="s">
        <v>743</v>
      </c>
      <c r="C36" s="83">
        <v>2007</v>
      </c>
      <c r="D36" s="91">
        <v>0</v>
      </c>
      <c r="E36" s="91">
        <v>0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88</v>
      </c>
      <c r="AK36" s="42">
        <v>250</v>
      </c>
      <c r="AL36" s="42">
        <v>438</v>
      </c>
      <c r="AM36" s="42">
        <v>468</v>
      </c>
      <c r="AN36" s="42">
        <v>614</v>
      </c>
      <c r="AO36" s="42">
        <v>772</v>
      </c>
      <c r="AP36" s="42">
        <f>+AO36*1.03</f>
        <v>795.16</v>
      </c>
      <c r="AQ36" s="42">
        <f t="shared" ref="AQ36:AT36" si="55">+AP36*1.03</f>
        <v>819.01480000000004</v>
      </c>
      <c r="AR36" s="42">
        <f t="shared" si="55"/>
        <v>843.5852440000001</v>
      </c>
      <c r="AS36" s="42">
        <f t="shared" si="55"/>
        <v>868.8928013200001</v>
      </c>
      <c r="AT36" s="42">
        <f t="shared" si="55"/>
        <v>894.95958535960017</v>
      </c>
    </row>
    <row r="37" spans="1:46" x14ac:dyDescent="0.25">
      <c r="A37" s="41">
        <f t="shared" si="31"/>
        <v>29</v>
      </c>
      <c r="B37" s="83" t="s">
        <v>176</v>
      </c>
      <c r="C37" s="83">
        <v>1981</v>
      </c>
      <c r="D37" s="83">
        <f t="shared" ref="D37:G37" si="56">+E37*0.5</f>
        <v>5</v>
      </c>
      <c r="E37" s="83">
        <f t="shared" si="56"/>
        <v>10</v>
      </c>
      <c r="F37" s="83">
        <f t="shared" si="56"/>
        <v>20</v>
      </c>
      <c r="G37" s="83">
        <f t="shared" si="56"/>
        <v>40</v>
      </c>
      <c r="H37" s="83">
        <f>+I37*0.5</f>
        <v>80</v>
      </c>
      <c r="I37" s="83">
        <v>160</v>
      </c>
      <c r="J37" s="83">
        <v>190</v>
      </c>
      <c r="K37" s="83">
        <v>224</v>
      </c>
      <c r="L37" s="83">
        <v>275</v>
      </c>
      <c r="M37" s="83">
        <v>335</v>
      </c>
      <c r="N37" s="83">
        <v>484</v>
      </c>
      <c r="O37" s="83">
        <v>552</v>
      </c>
      <c r="P37" s="83">
        <v>590</v>
      </c>
      <c r="Q37" s="83">
        <v>630</v>
      </c>
      <c r="R37" s="83">
        <v>750</v>
      </c>
      <c r="S37" s="83">
        <v>880</v>
      </c>
      <c r="T37" s="83">
        <v>1000</v>
      </c>
      <c r="U37" s="42">
        <v>1130</v>
      </c>
      <c r="V37" s="42">
        <v>1460</v>
      </c>
      <c r="W37" s="42">
        <v>1750</v>
      </c>
      <c r="X37" s="42">
        <v>1980</v>
      </c>
      <c r="Y37" s="42">
        <v>1746</v>
      </c>
      <c r="Z37" s="42">
        <v>2077</v>
      </c>
      <c r="AA37" s="42">
        <v>2483</v>
      </c>
      <c r="AB37" s="42">
        <v>2609</v>
      </c>
      <c r="AC37" s="42">
        <v>2744</v>
      </c>
      <c r="AD37" s="42">
        <v>2980</v>
      </c>
      <c r="AE37" s="42">
        <v>3120</v>
      </c>
      <c r="AF37" s="42">
        <v>3361</v>
      </c>
      <c r="AG37" s="42">
        <v>3700</v>
      </c>
      <c r="AH37" s="42">
        <v>4160</v>
      </c>
      <c r="AI37" s="42">
        <v>4490</v>
      </c>
      <c r="AJ37" s="42">
        <v>5086</v>
      </c>
      <c r="AK37" s="42">
        <v>5750</v>
      </c>
      <c r="AL37" s="42">
        <v>5969</v>
      </c>
      <c r="AM37" s="42">
        <v>6441</v>
      </c>
      <c r="AN37" s="42">
        <v>6724</v>
      </c>
      <c r="AO37" s="42">
        <v>6950</v>
      </c>
      <c r="AP37" s="42">
        <f>+AO37</f>
        <v>6950</v>
      </c>
      <c r="AQ37" s="42">
        <f t="shared" ref="AQ37:AT37" si="57">+AP37</f>
        <v>6950</v>
      </c>
      <c r="AR37" s="42">
        <f t="shared" si="57"/>
        <v>6950</v>
      </c>
      <c r="AS37" s="42">
        <f t="shared" si="57"/>
        <v>6950</v>
      </c>
      <c r="AT37" s="42">
        <f t="shared" si="57"/>
        <v>6950</v>
      </c>
    </row>
    <row r="38" spans="1:46" x14ac:dyDescent="0.25">
      <c r="A38" s="41">
        <f t="shared" si="31"/>
        <v>30</v>
      </c>
      <c r="B38" s="83" t="s">
        <v>430</v>
      </c>
      <c r="C38" s="83">
        <v>1981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</row>
    <row r="39" spans="1:46" x14ac:dyDescent="0.25">
      <c r="A39" s="41">
        <f t="shared" si="31"/>
        <v>31</v>
      </c>
      <c r="B39" s="83" t="s">
        <v>864</v>
      </c>
      <c r="C39" s="83">
        <v>1976</v>
      </c>
      <c r="D39" s="83">
        <v>178</v>
      </c>
      <c r="E39" s="83">
        <v>281</v>
      </c>
      <c r="F39" s="83">
        <v>452</v>
      </c>
      <c r="G39" s="83">
        <v>533</v>
      </c>
      <c r="H39" s="83">
        <v>600</v>
      </c>
      <c r="I39" s="83">
        <v>700</v>
      </c>
      <c r="J39" s="83" t="s">
        <v>880</v>
      </c>
      <c r="K39" s="83"/>
      <c r="L39" s="83"/>
      <c r="M39" s="83"/>
      <c r="N39" s="83"/>
      <c r="O39" s="83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91"/>
      <c r="AR39" s="91"/>
      <c r="AS39" s="91"/>
      <c r="AT39" s="91"/>
    </row>
    <row r="40" spans="1:46" x14ac:dyDescent="0.25">
      <c r="A40" s="41">
        <f t="shared" si="31"/>
        <v>32</v>
      </c>
      <c r="B40" s="83" t="s">
        <v>882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</row>
    <row r="41" spans="1:46" x14ac:dyDescent="0.25">
      <c r="A41" s="41">
        <f t="shared" si="31"/>
        <v>33</v>
      </c>
      <c r="B41" s="83" t="s">
        <v>865</v>
      </c>
      <c r="C41" s="83">
        <v>1980</v>
      </c>
      <c r="D41" s="88">
        <v>267.3</v>
      </c>
      <c r="E41" s="88">
        <v>307.3</v>
      </c>
      <c r="F41" s="88">
        <v>265.3</v>
      </c>
      <c r="G41" s="88">
        <v>230.5</v>
      </c>
      <c r="H41" s="83" t="s">
        <v>883</v>
      </c>
      <c r="I41" s="83"/>
      <c r="J41" s="83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</row>
    <row r="42" spans="1:46" x14ac:dyDescent="0.25">
      <c r="A42" s="41">
        <f t="shared" si="31"/>
        <v>34</v>
      </c>
      <c r="B42" s="83" t="s">
        <v>866</v>
      </c>
      <c r="C42" s="83">
        <v>1974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</row>
    <row r="43" spans="1:46" x14ac:dyDescent="0.25">
      <c r="A43" s="41">
        <f t="shared" si="31"/>
        <v>35</v>
      </c>
      <c r="B43" s="83" t="s">
        <v>310</v>
      </c>
      <c r="C43" s="83">
        <v>1987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</row>
    <row r="44" spans="1:46" x14ac:dyDescent="0.25">
      <c r="A44" s="41">
        <f t="shared" si="31"/>
        <v>36</v>
      </c>
      <c r="B44" s="83" t="s">
        <v>164</v>
      </c>
      <c r="C44" s="83">
        <v>1982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</row>
    <row r="45" spans="1:46" x14ac:dyDescent="0.25">
      <c r="A45" s="41">
        <f t="shared" si="31"/>
        <v>37</v>
      </c>
      <c r="B45" s="83" t="s">
        <v>867</v>
      </c>
      <c r="C45" s="83">
        <v>1984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</row>
    <row r="46" spans="1:46" x14ac:dyDescent="0.25">
      <c r="A46" s="41">
        <f t="shared" si="31"/>
        <v>38</v>
      </c>
      <c r="B46" s="83" t="s">
        <v>869</v>
      </c>
      <c r="C46" s="83">
        <v>1979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</row>
    <row r="47" spans="1:46" x14ac:dyDescent="0.25">
      <c r="A47" s="41">
        <f t="shared" si="31"/>
        <v>39</v>
      </c>
      <c r="B47" s="83" t="s">
        <v>868</v>
      </c>
      <c r="C47" s="83">
        <v>1978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</row>
    <row r="48" spans="1:46" x14ac:dyDescent="0.25">
      <c r="A48" s="41">
        <f t="shared" si="31"/>
        <v>40</v>
      </c>
      <c r="B48" s="83" t="s">
        <v>68</v>
      </c>
      <c r="C48" s="83">
        <v>2006</v>
      </c>
      <c r="D48" s="91">
        <v>0</v>
      </c>
      <c r="E48" s="91">
        <v>0</v>
      </c>
      <c r="F48" s="91">
        <v>0</v>
      </c>
      <c r="G48" s="91">
        <v>0</v>
      </c>
      <c r="H48" s="91">
        <v>0</v>
      </c>
      <c r="I48" s="91">
        <v>0</v>
      </c>
      <c r="J48" s="91">
        <v>0</v>
      </c>
      <c r="K48" s="83">
        <v>0</v>
      </c>
      <c r="L48" s="83">
        <v>0</v>
      </c>
      <c r="M48" s="83">
        <v>0</v>
      </c>
      <c r="N48" s="83">
        <v>0</v>
      </c>
      <c r="O48" s="83">
        <v>0</v>
      </c>
      <c r="P48" s="83">
        <v>0</v>
      </c>
      <c r="Q48" s="83">
        <v>0</v>
      </c>
      <c r="R48" s="83">
        <v>0</v>
      </c>
      <c r="S48" s="83">
        <v>0</v>
      </c>
      <c r="T48" s="83">
        <v>0</v>
      </c>
      <c r="U48" s="83">
        <v>0</v>
      </c>
      <c r="V48" s="83">
        <v>0</v>
      </c>
      <c r="W48" s="83">
        <v>0</v>
      </c>
      <c r="X48" s="83">
        <v>0</v>
      </c>
      <c r="Y48" s="83">
        <v>0</v>
      </c>
      <c r="Z48" s="42">
        <v>15</v>
      </c>
      <c r="AA48" s="42">
        <v>29</v>
      </c>
      <c r="AB48" s="42">
        <v>52</v>
      </c>
      <c r="AC48" s="42">
        <v>78</v>
      </c>
      <c r="AD48" s="42">
        <v>116</v>
      </c>
      <c r="AE48" s="42">
        <v>182</v>
      </c>
      <c r="AF48" s="42">
        <v>271</v>
      </c>
      <c r="AG48" s="42">
        <v>376</v>
      </c>
      <c r="AH48" s="42">
        <v>513</v>
      </c>
      <c r="AI48" s="42">
        <v>675</v>
      </c>
      <c r="AJ48" s="42">
        <v>883</v>
      </c>
      <c r="AK48" s="42">
        <v>1301</v>
      </c>
      <c r="AL48" s="42">
        <v>1731</v>
      </c>
      <c r="AM48" s="42">
        <v>2170</v>
      </c>
      <c r="AN48" s="42">
        <v>2628</v>
      </c>
      <c r="AO48" s="42">
        <v>2848</v>
      </c>
      <c r="AP48" s="42">
        <f>+AO48*0.95</f>
        <v>2705.6</v>
      </c>
      <c r="AQ48" s="42">
        <f>+AP48*0.95</f>
        <v>2570.3199999999997</v>
      </c>
      <c r="AR48" s="42">
        <f>+AQ48*0.95</f>
        <v>2441.8039999999996</v>
      </c>
      <c r="AS48" s="42">
        <f>+AR48*0.95</f>
        <v>2319.7137999999995</v>
      </c>
      <c r="AT48" s="42">
        <f>+AS48*0.95</f>
        <v>2203.7281099999996</v>
      </c>
    </row>
    <row r="49" spans="1:46" x14ac:dyDescent="0.25">
      <c r="A49" s="41">
        <f t="shared" si="31"/>
        <v>41</v>
      </c>
      <c r="B49" s="83" t="s">
        <v>768</v>
      </c>
      <c r="C49" s="83">
        <v>2011</v>
      </c>
      <c r="D49" s="91">
        <v>0</v>
      </c>
      <c r="E49" s="91">
        <v>0</v>
      </c>
      <c r="F49" s="91">
        <v>0</v>
      </c>
      <c r="G49" s="91">
        <v>0</v>
      </c>
      <c r="H49" s="91">
        <v>0</v>
      </c>
      <c r="I49" s="91">
        <v>0</v>
      </c>
      <c r="J49" s="91">
        <v>0</v>
      </c>
      <c r="K49" s="83">
        <v>0</v>
      </c>
      <c r="L49" s="83">
        <v>0</v>
      </c>
      <c r="M49" s="83">
        <v>0</v>
      </c>
      <c r="N49" s="83">
        <v>0</v>
      </c>
      <c r="O49" s="83">
        <v>0</v>
      </c>
      <c r="P49" s="83">
        <v>0</v>
      </c>
      <c r="Q49" s="83">
        <v>0</v>
      </c>
      <c r="R49" s="83">
        <v>0</v>
      </c>
      <c r="S49" s="83">
        <v>0</v>
      </c>
      <c r="T49" s="83">
        <v>0</v>
      </c>
      <c r="U49" s="83">
        <v>0</v>
      </c>
      <c r="V49" s="83">
        <v>0</v>
      </c>
      <c r="W49" s="83">
        <v>0</v>
      </c>
      <c r="X49" s="83">
        <v>0</v>
      </c>
      <c r="Y49" s="83">
        <v>0</v>
      </c>
      <c r="Z49" s="83">
        <v>0</v>
      </c>
      <c r="AA49" s="83">
        <v>0</v>
      </c>
      <c r="AB49" s="83">
        <v>0</v>
      </c>
      <c r="AC49" s="83">
        <v>0</v>
      </c>
      <c r="AD49" s="83">
        <v>0</v>
      </c>
      <c r="AE49" s="83">
        <v>0</v>
      </c>
      <c r="AF49" s="83">
        <v>0</v>
      </c>
      <c r="AG49" s="83">
        <v>0</v>
      </c>
      <c r="AH49" s="83">
        <v>0</v>
      </c>
      <c r="AI49" s="83">
        <v>0</v>
      </c>
      <c r="AJ49" s="42">
        <v>81</v>
      </c>
      <c r="AK49" s="42">
        <v>152</v>
      </c>
      <c r="AL49" s="42">
        <v>253</v>
      </c>
      <c r="AM49" s="42">
        <v>424</v>
      </c>
      <c r="AN49" s="42">
        <v>580</v>
      </c>
      <c r="AO49" s="42">
        <v>759</v>
      </c>
      <c r="AP49" s="42">
        <f>+AO49*1.01</f>
        <v>766.59</v>
      </c>
      <c r="AQ49" s="42">
        <f>+AP49*1.01</f>
        <v>774.2559</v>
      </c>
      <c r="AR49" s="42">
        <f>+AQ49*1.01</f>
        <v>781.99845900000003</v>
      </c>
      <c r="AS49" s="42">
        <f>+AR49*1.01</f>
        <v>789.81844359000002</v>
      </c>
      <c r="AT49" s="42">
        <f>+AS49*1.01</f>
        <v>797.71662802590004</v>
      </c>
    </row>
    <row r="50" spans="1:46" x14ac:dyDescent="0.25">
      <c r="A50" s="41">
        <f t="shared" si="31"/>
        <v>42</v>
      </c>
      <c r="B50" s="83" t="s">
        <v>123</v>
      </c>
      <c r="C50" s="83">
        <v>2012</v>
      </c>
      <c r="D50" s="91">
        <v>0</v>
      </c>
      <c r="E50" s="91">
        <v>0</v>
      </c>
      <c r="F50" s="91">
        <v>0</v>
      </c>
      <c r="G50" s="91">
        <v>0</v>
      </c>
      <c r="H50" s="91">
        <v>0</v>
      </c>
      <c r="I50" s="91">
        <v>0</v>
      </c>
      <c r="J50" s="91">
        <v>0</v>
      </c>
      <c r="K50" s="83">
        <v>0</v>
      </c>
      <c r="L50" s="83">
        <v>0</v>
      </c>
      <c r="M50" s="83">
        <v>0</v>
      </c>
      <c r="N50" s="83">
        <v>0</v>
      </c>
      <c r="O50" s="83">
        <v>0</v>
      </c>
      <c r="P50" s="83">
        <v>0</v>
      </c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</row>
    <row r="51" spans="1:46" x14ac:dyDescent="0.25">
      <c r="A51" s="41">
        <f t="shared" si="31"/>
        <v>43</v>
      </c>
      <c r="B51" s="83" t="s">
        <v>744</v>
      </c>
      <c r="C51" s="83">
        <v>2006</v>
      </c>
      <c r="D51" s="91">
        <v>0</v>
      </c>
      <c r="E51" s="91">
        <v>0</v>
      </c>
      <c r="F51" s="91">
        <v>0</v>
      </c>
      <c r="G51" s="91">
        <v>0</v>
      </c>
      <c r="H51" s="91">
        <v>0</v>
      </c>
      <c r="I51" s="91">
        <v>0</v>
      </c>
      <c r="J51" s="91">
        <v>0</v>
      </c>
      <c r="K51" s="83">
        <v>0</v>
      </c>
      <c r="L51" s="83">
        <v>0</v>
      </c>
      <c r="M51" s="83">
        <v>0</v>
      </c>
      <c r="N51" s="83">
        <v>0</v>
      </c>
      <c r="O51" s="83">
        <v>0</v>
      </c>
      <c r="P51" s="83">
        <v>0</v>
      </c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</row>
    <row r="52" spans="1:46" x14ac:dyDescent="0.25">
      <c r="A52" s="41">
        <f t="shared" si="31"/>
        <v>44</v>
      </c>
      <c r="B52" s="83" t="s">
        <v>518</v>
      </c>
      <c r="C52" s="83">
        <v>2007</v>
      </c>
      <c r="D52" s="91">
        <v>0</v>
      </c>
      <c r="E52" s="91">
        <v>0</v>
      </c>
      <c r="F52" s="91">
        <v>0</v>
      </c>
      <c r="G52" s="91">
        <v>0</v>
      </c>
      <c r="H52" s="91">
        <v>0</v>
      </c>
      <c r="I52" s="91">
        <v>0</v>
      </c>
      <c r="J52" s="91">
        <v>0</v>
      </c>
      <c r="K52" s="83">
        <v>0</v>
      </c>
      <c r="L52" s="83">
        <v>0</v>
      </c>
      <c r="M52" s="83">
        <v>0</v>
      </c>
      <c r="N52" s="83">
        <v>0</v>
      </c>
      <c r="O52" s="83">
        <v>0</v>
      </c>
      <c r="P52" s="83">
        <v>0</v>
      </c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</row>
    <row r="53" spans="1:46" x14ac:dyDescent="0.25">
      <c r="A53" s="41">
        <f t="shared" si="31"/>
        <v>45</v>
      </c>
      <c r="B53" s="83" t="s">
        <v>589</v>
      </c>
      <c r="C53" s="83">
        <v>2005</v>
      </c>
      <c r="D53" s="91">
        <v>0</v>
      </c>
      <c r="E53" s="91">
        <v>0</v>
      </c>
      <c r="F53" s="91">
        <v>0</v>
      </c>
      <c r="G53" s="91">
        <v>0</v>
      </c>
      <c r="H53" s="91">
        <v>0</v>
      </c>
      <c r="I53" s="91">
        <v>0</v>
      </c>
      <c r="J53" s="91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</row>
    <row r="54" spans="1:46" x14ac:dyDescent="0.25">
      <c r="A54" s="41">
        <f t="shared" si="31"/>
        <v>46</v>
      </c>
      <c r="B54" s="83" t="s">
        <v>140</v>
      </c>
      <c r="C54" s="83">
        <v>2021</v>
      </c>
      <c r="D54" s="91">
        <v>0</v>
      </c>
      <c r="E54" s="91">
        <v>0</v>
      </c>
      <c r="F54" s="91">
        <v>0</v>
      </c>
      <c r="G54" s="91">
        <v>0</v>
      </c>
      <c r="H54" s="91">
        <v>0</v>
      </c>
      <c r="I54" s="91">
        <v>0</v>
      </c>
      <c r="J54" s="91">
        <v>0</v>
      </c>
      <c r="K54" s="83"/>
      <c r="L54" s="83"/>
      <c r="M54" s="83"/>
      <c r="N54" s="83"/>
      <c r="O54" s="83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>
        <v>5000</v>
      </c>
      <c r="AP54" s="42">
        <v>15000</v>
      </c>
      <c r="AQ54" s="42">
        <f>+AP54*2</f>
        <v>30000</v>
      </c>
      <c r="AR54" s="42">
        <f>+AQ54*2</f>
        <v>60000</v>
      </c>
      <c r="AS54" s="42">
        <f>+AR54*1.5</f>
        <v>90000</v>
      </c>
      <c r="AT54" s="42">
        <f>+AS54*1.5</f>
        <v>135000</v>
      </c>
    </row>
    <row r="55" spans="1:46" x14ac:dyDescent="0.25">
      <c r="A55" s="41">
        <f t="shared" si="31"/>
        <v>47</v>
      </c>
      <c r="B55" s="83" t="s">
        <v>391</v>
      </c>
      <c r="C55" s="83">
        <v>2013</v>
      </c>
      <c r="D55" s="91">
        <v>0</v>
      </c>
      <c r="E55" s="91">
        <v>0</v>
      </c>
      <c r="F55" s="91">
        <v>0</v>
      </c>
      <c r="G55" s="91">
        <v>0</v>
      </c>
      <c r="H55" s="91">
        <v>0</v>
      </c>
      <c r="I55" s="91">
        <v>0</v>
      </c>
      <c r="J55" s="91">
        <v>0</v>
      </c>
      <c r="K55" s="83"/>
      <c r="L55" s="83"/>
      <c r="M55" s="83"/>
      <c r="N55" s="83"/>
      <c r="O55" s="83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</row>
    <row r="56" spans="1:46" x14ac:dyDescent="0.25">
      <c r="A56" s="41">
        <f t="shared" si="31"/>
        <v>48</v>
      </c>
      <c r="B56" s="83" t="s">
        <v>745</v>
      </c>
      <c r="C56" s="83">
        <v>1982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</row>
    <row r="57" spans="1:46" x14ac:dyDescent="0.25">
      <c r="A57" s="41">
        <f t="shared" si="31"/>
        <v>49</v>
      </c>
      <c r="B57" s="83" t="s">
        <v>873</v>
      </c>
      <c r="C57" s="83">
        <v>1970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</row>
    <row r="58" spans="1:46" x14ac:dyDescent="0.25">
      <c r="A58" s="41">
        <f t="shared" si="31"/>
        <v>50</v>
      </c>
      <c r="B58" s="83" t="s">
        <v>874</v>
      </c>
      <c r="C58" s="83">
        <v>1979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</row>
    <row r="59" spans="1:46" x14ac:dyDescent="0.25">
      <c r="A59" s="41">
        <f t="shared" si="31"/>
        <v>51</v>
      </c>
      <c r="B59" s="83" t="s">
        <v>746</v>
      </c>
      <c r="C59" s="83">
        <v>2012</v>
      </c>
      <c r="D59" s="91">
        <v>0</v>
      </c>
      <c r="E59" s="91">
        <v>0</v>
      </c>
      <c r="F59" s="91">
        <v>0</v>
      </c>
      <c r="G59" s="91">
        <v>0</v>
      </c>
      <c r="H59" s="91">
        <v>0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</row>
    <row r="60" spans="1:46" x14ac:dyDescent="0.25">
      <c r="A60" s="41">
        <f t="shared" si="31"/>
        <v>52</v>
      </c>
      <c r="B60" s="83" t="s">
        <v>875</v>
      </c>
      <c r="C60" s="83">
        <v>1981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</row>
    <row r="61" spans="1:46" x14ac:dyDescent="0.25">
      <c r="A61" s="41">
        <f t="shared" si="31"/>
        <v>53</v>
      </c>
      <c r="B61" s="83" t="s">
        <v>876</v>
      </c>
      <c r="C61" s="83">
        <v>1980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</row>
    <row r="62" spans="1:46" x14ac:dyDescent="0.25">
      <c r="A62" s="41">
        <f t="shared" si="31"/>
        <v>54</v>
      </c>
      <c r="B62" s="83" t="s">
        <v>787</v>
      </c>
      <c r="C62" s="83">
        <v>2005</v>
      </c>
      <c r="D62" s="91">
        <v>0</v>
      </c>
      <c r="E62" s="91">
        <v>0</v>
      </c>
      <c r="F62" s="91">
        <v>0</v>
      </c>
      <c r="G62" s="91">
        <v>0</v>
      </c>
      <c r="H62" s="91">
        <v>0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</row>
    <row r="63" spans="1:46" x14ac:dyDescent="0.25">
      <c r="A63" s="41">
        <f t="shared" si="31"/>
        <v>55</v>
      </c>
      <c r="B63" s="83" t="s">
        <v>877</v>
      </c>
      <c r="C63" s="83">
        <v>1979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</row>
    <row r="64" spans="1:46" x14ac:dyDescent="0.25">
      <c r="A64" s="41">
        <f t="shared" si="31"/>
        <v>56</v>
      </c>
      <c r="B64" s="83" t="s">
        <v>878</v>
      </c>
      <c r="C64" s="83">
        <v>1980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</row>
    <row r="65" spans="1:44" x14ac:dyDescent="0.25">
      <c r="A65" s="41">
        <f t="shared" si="31"/>
        <v>57</v>
      </c>
      <c r="B65" s="83" t="s">
        <v>837</v>
      </c>
      <c r="C65" s="83">
        <v>1985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</row>
    <row r="66" spans="1:44" x14ac:dyDescent="0.25">
      <c r="A66" s="41">
        <f t="shared" si="31"/>
        <v>58</v>
      </c>
      <c r="B66" s="83" t="s">
        <v>879</v>
      </c>
      <c r="C66" s="83">
        <v>1974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</row>
    <row r="67" spans="1:44" x14ac:dyDescent="0.25">
      <c r="A67" s="41">
        <f t="shared" si="31"/>
        <v>59</v>
      </c>
      <c r="B67" s="83" t="s">
        <v>838</v>
      </c>
      <c r="C67" s="83">
        <v>1982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</row>
    <row r="68" spans="1:44" x14ac:dyDescent="0.25">
      <c r="A68" s="41">
        <f t="shared" si="31"/>
        <v>60</v>
      </c>
      <c r="B68" s="83" t="s">
        <v>788</v>
      </c>
      <c r="C68" s="83">
        <v>1988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</row>
    <row r="69" spans="1:44" x14ac:dyDescent="0.25">
      <c r="A69" s="41">
        <f t="shared" si="31"/>
        <v>61</v>
      </c>
      <c r="B69" s="83" t="s">
        <v>843</v>
      </c>
      <c r="C69" s="83">
        <v>1990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</row>
    <row r="70" spans="1:44" x14ac:dyDescent="0.25">
      <c r="A70" s="41">
        <f t="shared" si="31"/>
        <v>62</v>
      </c>
      <c r="B70" s="83" t="s">
        <v>839</v>
      </c>
      <c r="C70" s="83">
        <v>1995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</row>
    <row r="71" spans="1:44" x14ac:dyDescent="0.25">
      <c r="A71" s="41">
        <f t="shared" si="31"/>
        <v>63</v>
      </c>
      <c r="B71" s="83" t="s">
        <v>840</v>
      </c>
      <c r="C71" s="83">
        <v>1996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</row>
    <row r="72" spans="1:44" x14ac:dyDescent="0.25">
      <c r="A72" s="41">
        <f t="shared" si="31"/>
        <v>64</v>
      </c>
      <c r="B72" s="83" t="s">
        <v>844</v>
      </c>
      <c r="C72" s="83">
        <v>1984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</row>
    <row r="73" spans="1:44" x14ac:dyDescent="0.25">
      <c r="A73" s="41">
        <f t="shared" si="31"/>
        <v>65</v>
      </c>
      <c r="B73" s="83" t="s">
        <v>841</v>
      </c>
      <c r="C73" s="83">
        <v>1995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</row>
    <row r="74" spans="1:44" x14ac:dyDescent="0.25">
      <c r="A74" s="41">
        <f t="shared" si="31"/>
        <v>66</v>
      </c>
      <c r="B74" s="83" t="s">
        <v>482</v>
      </c>
      <c r="C74" s="83">
        <v>1989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</row>
    <row r="75" spans="1:44" x14ac:dyDescent="0.25">
      <c r="A75" s="41">
        <f t="shared" si="31"/>
        <v>67</v>
      </c>
      <c r="B75" s="83" t="s">
        <v>871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</row>
    <row r="76" spans="1:44" x14ac:dyDescent="0.25">
      <c r="A76" s="41">
        <f t="shared" si="31"/>
        <v>68</v>
      </c>
      <c r="B76" s="83" t="s">
        <v>842</v>
      </c>
      <c r="C76" s="83">
        <v>1990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</row>
    <row r="77" spans="1:44" x14ac:dyDescent="0.25">
      <c r="A77" s="41">
        <f t="shared" si="31"/>
        <v>69</v>
      </c>
      <c r="B77" s="83" t="s">
        <v>833</v>
      </c>
      <c r="C77" s="83">
        <v>1986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</row>
    <row r="78" spans="1:44" x14ac:dyDescent="0.25">
      <c r="A78" s="41">
        <f t="shared" si="31"/>
        <v>70</v>
      </c>
      <c r="B78" s="83" t="s">
        <v>834</v>
      </c>
      <c r="C78" s="83">
        <v>1996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</row>
    <row r="79" spans="1:44" x14ac:dyDescent="0.25">
      <c r="A79" s="41">
        <f t="shared" si="31"/>
        <v>71</v>
      </c>
      <c r="B79" s="83" t="s">
        <v>836</v>
      </c>
      <c r="C79" s="83">
        <v>1977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</row>
    <row r="80" spans="1:44" x14ac:dyDescent="0.25">
      <c r="A80" s="41">
        <f t="shared" si="31"/>
        <v>72</v>
      </c>
      <c r="B80" s="83" t="s">
        <v>848</v>
      </c>
      <c r="C80" s="83">
        <v>1999</v>
      </c>
      <c r="D80" s="83">
        <v>0</v>
      </c>
      <c r="E80" s="83">
        <v>0</v>
      </c>
      <c r="F80" s="83">
        <v>0</v>
      </c>
      <c r="G80" s="83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  <c r="N80" s="83">
        <v>0</v>
      </c>
      <c r="O80" s="83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</row>
    <row r="81" spans="1:44" x14ac:dyDescent="0.25">
      <c r="A81" s="41">
        <f t="shared" si="31"/>
        <v>73</v>
      </c>
      <c r="B81" s="83" t="s">
        <v>835</v>
      </c>
      <c r="C81" s="83">
        <v>1996</v>
      </c>
      <c r="D81" s="83">
        <v>0</v>
      </c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</row>
    <row r="82" spans="1:44" x14ac:dyDescent="0.25">
      <c r="A82" s="41">
        <f t="shared" si="31"/>
        <v>74</v>
      </c>
      <c r="B82" s="83" t="s">
        <v>789</v>
      </c>
      <c r="C82" s="83">
        <v>1993</v>
      </c>
      <c r="D82" s="83">
        <v>0</v>
      </c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</row>
    <row r="83" spans="1:44" x14ac:dyDescent="0.25">
      <c r="A83" s="41">
        <f t="shared" si="31"/>
        <v>75</v>
      </c>
      <c r="B83" s="83" t="s">
        <v>795</v>
      </c>
      <c r="C83" s="83">
        <v>2000</v>
      </c>
      <c r="D83" s="83">
        <v>0</v>
      </c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</row>
    <row r="84" spans="1:44" x14ac:dyDescent="0.25">
      <c r="A84" s="41">
        <f t="shared" si="31"/>
        <v>76</v>
      </c>
      <c r="B84" s="83" t="s">
        <v>170</v>
      </c>
      <c r="C84" s="83">
        <v>1889</v>
      </c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</row>
    <row r="85" spans="1:44" x14ac:dyDescent="0.25">
      <c r="A85" s="41">
        <f t="shared" si="31"/>
        <v>77</v>
      </c>
      <c r="B85" s="83" t="s">
        <v>849</v>
      </c>
      <c r="C85" s="83">
        <v>1996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</row>
    <row r="86" spans="1:44" x14ac:dyDescent="0.25">
      <c r="A86" s="41">
        <f t="shared" si="31"/>
        <v>78</v>
      </c>
      <c r="B86" s="83" t="s">
        <v>168</v>
      </c>
      <c r="C86" s="83">
        <v>1979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</row>
    <row r="87" spans="1:44" x14ac:dyDescent="0.25">
      <c r="A87" s="41">
        <f t="shared" si="31"/>
        <v>79</v>
      </c>
      <c r="B87" s="83" t="s">
        <v>845</v>
      </c>
      <c r="C87" s="83">
        <v>1994</v>
      </c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</row>
    <row r="88" spans="1:44" x14ac:dyDescent="0.25">
      <c r="A88" s="41">
        <f t="shared" si="31"/>
        <v>80</v>
      </c>
      <c r="B88" s="83" t="s">
        <v>846</v>
      </c>
      <c r="C88" s="83">
        <v>1994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</row>
    <row r="89" spans="1:44" x14ac:dyDescent="0.25">
      <c r="A89" s="41">
        <f t="shared" si="31"/>
        <v>81</v>
      </c>
      <c r="B89" s="83" t="s">
        <v>847</v>
      </c>
      <c r="C89" s="83">
        <v>1995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</row>
    <row r="90" spans="1:44" x14ac:dyDescent="0.25">
      <c r="A90" s="41">
        <f t="shared" si="31"/>
        <v>82</v>
      </c>
      <c r="B90" s="83" t="s">
        <v>850</v>
      </c>
      <c r="C90" s="83">
        <v>1983</v>
      </c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</row>
    <row r="91" spans="1:44" x14ac:dyDescent="0.25">
      <c r="A91" s="41">
        <f t="shared" si="31"/>
        <v>83</v>
      </c>
      <c r="B91" s="83" t="s">
        <v>166</v>
      </c>
      <c r="C91" s="83">
        <v>1993</v>
      </c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</row>
    <row r="92" spans="1:44" x14ac:dyDescent="0.25">
      <c r="A92" s="41">
        <f t="shared" si="31"/>
        <v>84</v>
      </c>
      <c r="B92" s="83" t="s">
        <v>793</v>
      </c>
      <c r="C92" s="83">
        <v>1983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</row>
    <row r="93" spans="1:44" x14ac:dyDescent="0.25">
      <c r="A93" s="41">
        <f t="shared" si="31"/>
        <v>85</v>
      </c>
      <c r="B93" s="83" t="s">
        <v>851</v>
      </c>
      <c r="C93" s="83">
        <v>1987</v>
      </c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</row>
    <row r="94" spans="1:44" x14ac:dyDescent="0.25">
      <c r="A94" s="41">
        <f t="shared" si="31"/>
        <v>86</v>
      </c>
      <c r="B94" s="83" t="s">
        <v>790</v>
      </c>
      <c r="C94" s="83">
        <v>1987</v>
      </c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</row>
    <row r="95" spans="1:44" x14ac:dyDescent="0.25">
      <c r="A95" s="41">
        <f t="shared" si="31"/>
        <v>87</v>
      </c>
      <c r="B95" s="83" t="s">
        <v>830</v>
      </c>
      <c r="C95" s="83">
        <v>1995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</row>
    <row r="96" spans="1:44" x14ac:dyDescent="0.25">
      <c r="A96" s="41">
        <f t="shared" si="31"/>
        <v>88</v>
      </c>
      <c r="B96" s="83" t="s">
        <v>791</v>
      </c>
      <c r="C96" s="83">
        <v>1994</v>
      </c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</row>
    <row r="97" spans="1:44" x14ac:dyDescent="0.25">
      <c r="A97" s="41">
        <f t="shared" si="31"/>
        <v>89</v>
      </c>
      <c r="B97" s="83" t="s">
        <v>747</v>
      </c>
      <c r="C97" s="83">
        <v>1972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</row>
    <row r="98" spans="1:44" x14ac:dyDescent="0.25">
      <c r="A98" s="41">
        <f t="shared" si="31"/>
        <v>90</v>
      </c>
      <c r="B98" s="83" t="s">
        <v>792</v>
      </c>
      <c r="C98" s="83">
        <v>2006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</row>
    <row r="99" spans="1:44" x14ac:dyDescent="0.25">
      <c r="A99" s="41">
        <f t="shared" si="31"/>
        <v>91</v>
      </c>
      <c r="B99" s="83" t="s">
        <v>748</v>
      </c>
      <c r="C99" s="83">
        <v>1970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</row>
    <row r="100" spans="1:44" x14ac:dyDescent="0.25">
      <c r="A100" s="41">
        <f t="shared" si="31"/>
        <v>92</v>
      </c>
      <c r="B100" s="83" t="s">
        <v>217</v>
      </c>
      <c r="C100" s="83">
        <v>1992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</row>
    <row r="101" spans="1:44" x14ac:dyDescent="0.25">
      <c r="A101" s="41">
        <f t="shared" si="31"/>
        <v>93</v>
      </c>
      <c r="B101" s="83" t="s">
        <v>831</v>
      </c>
      <c r="C101" s="83">
        <v>1976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</row>
    <row r="102" spans="1:44" x14ac:dyDescent="0.25">
      <c r="A102" s="41">
        <f t="shared" si="31"/>
        <v>94</v>
      </c>
      <c r="B102" s="83" t="s">
        <v>832</v>
      </c>
      <c r="C102" s="83">
        <v>1966</v>
      </c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</row>
    <row r="103" spans="1:44" x14ac:dyDescent="0.25">
      <c r="A103" s="41">
        <f t="shared" si="31"/>
        <v>95</v>
      </c>
      <c r="B103" s="83" t="s">
        <v>852</v>
      </c>
      <c r="C103" s="83">
        <v>2001</v>
      </c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</row>
    <row r="104" spans="1:44" x14ac:dyDescent="0.25">
      <c r="A104" s="41">
        <f t="shared" si="31"/>
        <v>96</v>
      </c>
      <c r="B104" s="83" t="s">
        <v>220</v>
      </c>
      <c r="C104" s="83">
        <v>1990</v>
      </c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</row>
    <row r="105" spans="1:44" x14ac:dyDescent="0.25">
      <c r="A105" s="41">
        <f t="shared" si="31"/>
        <v>97</v>
      </c>
      <c r="B105" s="83" t="s">
        <v>853</v>
      </c>
      <c r="C105" s="83">
        <v>1999</v>
      </c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</row>
    <row r="106" spans="1:44" x14ac:dyDescent="0.25">
      <c r="A106" s="41">
        <f t="shared" si="31"/>
        <v>98</v>
      </c>
      <c r="B106" s="83" t="s">
        <v>92</v>
      </c>
      <c r="C106" s="83">
        <v>1985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</row>
    <row r="107" spans="1:44" x14ac:dyDescent="0.25">
      <c r="A107" s="41">
        <f t="shared" si="31"/>
        <v>99</v>
      </c>
      <c r="B107" s="83" t="s">
        <v>749</v>
      </c>
      <c r="C107" s="83">
        <v>2000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</row>
    <row r="108" spans="1:44" x14ac:dyDescent="0.25">
      <c r="A108" s="41">
        <f t="shared" si="31"/>
        <v>100</v>
      </c>
      <c r="B108" s="83" t="s">
        <v>390</v>
      </c>
      <c r="C108" s="83">
        <v>2014</v>
      </c>
      <c r="D108" s="83">
        <v>0</v>
      </c>
      <c r="E108" s="83">
        <v>0</v>
      </c>
      <c r="F108" s="83">
        <v>0</v>
      </c>
      <c r="G108" s="83"/>
      <c r="H108" s="83"/>
      <c r="I108" s="83"/>
      <c r="J108" s="83"/>
      <c r="K108" s="83"/>
      <c r="L108" s="83"/>
      <c r="M108" s="83"/>
      <c r="N108" s="83"/>
      <c r="O108" s="83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</row>
    <row r="109" spans="1:44" x14ac:dyDescent="0.25">
      <c r="A109" s="41">
        <f t="shared" si="31"/>
        <v>101</v>
      </c>
      <c r="B109" s="83" t="s">
        <v>750</v>
      </c>
      <c r="C109" s="83">
        <v>2013</v>
      </c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</row>
    <row r="110" spans="1:44" x14ac:dyDescent="0.25">
      <c r="A110" s="41">
        <f t="shared" si="31"/>
        <v>102</v>
      </c>
      <c r="B110" s="83" t="s">
        <v>774</v>
      </c>
      <c r="C110" s="83">
        <v>1980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</row>
    <row r="111" spans="1:44" x14ac:dyDescent="0.25">
      <c r="A111" s="41">
        <f t="shared" si="31"/>
        <v>103</v>
      </c>
      <c r="B111" s="83" t="s">
        <v>802</v>
      </c>
      <c r="C111" s="83">
        <v>1995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</row>
    <row r="112" spans="1:44" x14ac:dyDescent="0.25">
      <c r="A112" s="41">
        <f t="shared" si="31"/>
        <v>104</v>
      </c>
      <c r="B112" s="83" t="s">
        <v>803</v>
      </c>
      <c r="C112" s="83">
        <v>1973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</row>
    <row r="113" spans="1:44" x14ac:dyDescent="0.25">
      <c r="A113" s="41">
        <f t="shared" si="31"/>
        <v>105</v>
      </c>
      <c r="B113" s="83" t="s">
        <v>804</v>
      </c>
      <c r="C113" s="83">
        <v>1993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</row>
    <row r="114" spans="1:44" x14ac:dyDescent="0.25">
      <c r="A114" s="41">
        <f t="shared" si="31"/>
        <v>106</v>
      </c>
      <c r="B114" s="83" t="s">
        <v>805</v>
      </c>
      <c r="C114" s="83">
        <v>1998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</row>
    <row r="115" spans="1:44" x14ac:dyDescent="0.25">
      <c r="A115" s="41">
        <f t="shared" si="31"/>
        <v>107</v>
      </c>
      <c r="B115" s="83" t="s">
        <v>825</v>
      </c>
      <c r="C115" s="83">
        <v>1987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</row>
    <row r="116" spans="1:44" x14ac:dyDescent="0.25">
      <c r="A116" s="41">
        <f t="shared" si="31"/>
        <v>108</v>
      </c>
      <c r="B116" s="83" t="s">
        <v>806</v>
      </c>
      <c r="C116" s="83">
        <v>1991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</row>
    <row r="117" spans="1:44" x14ac:dyDescent="0.25">
      <c r="A117" s="41">
        <f t="shared" si="31"/>
        <v>109</v>
      </c>
      <c r="B117" s="83" t="s">
        <v>826</v>
      </c>
      <c r="C117" s="83">
        <v>1968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</row>
    <row r="118" spans="1:44" x14ac:dyDescent="0.25">
      <c r="A118" s="41">
        <f t="shared" si="31"/>
        <v>110</v>
      </c>
      <c r="B118" s="83" t="s">
        <v>268</v>
      </c>
      <c r="C118" s="83">
        <v>1971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</row>
    <row r="119" spans="1:44" x14ac:dyDescent="0.25">
      <c r="A119" s="41">
        <f t="shared" si="31"/>
        <v>111</v>
      </c>
      <c r="B119" s="83" t="s">
        <v>807</v>
      </c>
      <c r="C119" s="83">
        <v>1981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</row>
    <row r="120" spans="1:44" x14ac:dyDescent="0.25">
      <c r="A120" s="41">
        <f t="shared" si="31"/>
        <v>112</v>
      </c>
      <c r="B120" s="83" t="s">
        <v>808</v>
      </c>
      <c r="C120" s="83">
        <v>1968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</row>
    <row r="121" spans="1:44" x14ac:dyDescent="0.25">
      <c r="A121" s="41">
        <f t="shared" si="31"/>
        <v>113</v>
      </c>
      <c r="B121" s="83" t="s">
        <v>854</v>
      </c>
      <c r="C121" s="83">
        <v>1978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</row>
    <row r="122" spans="1:44" x14ac:dyDescent="0.25">
      <c r="A122" s="41">
        <f t="shared" si="31"/>
        <v>114</v>
      </c>
      <c r="B122" s="83" t="s">
        <v>872</v>
      </c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</row>
    <row r="123" spans="1:44" x14ac:dyDescent="0.25">
      <c r="A123" s="41">
        <f t="shared" si="31"/>
        <v>115</v>
      </c>
      <c r="B123" s="83" t="s">
        <v>827</v>
      </c>
      <c r="C123" s="83">
        <v>1992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</row>
    <row r="124" spans="1:44" x14ac:dyDescent="0.25">
      <c r="A124" s="41">
        <f t="shared" si="31"/>
        <v>116</v>
      </c>
      <c r="B124" s="83" t="s">
        <v>602</v>
      </c>
      <c r="C124" s="83">
        <v>1979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</row>
    <row r="125" spans="1:44" x14ac:dyDescent="0.25">
      <c r="A125" s="41">
        <f t="shared" si="31"/>
        <v>117</v>
      </c>
      <c r="B125" s="83" t="s">
        <v>809</v>
      </c>
      <c r="C125" s="83">
        <v>1986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</row>
    <row r="126" spans="1:44" x14ac:dyDescent="0.25">
      <c r="A126" s="41">
        <f t="shared" si="31"/>
        <v>118</v>
      </c>
      <c r="B126" s="83" t="s">
        <v>777</v>
      </c>
      <c r="C126" s="83">
        <v>1995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</row>
    <row r="127" spans="1:44" x14ac:dyDescent="0.25">
      <c r="A127" s="41">
        <f t="shared" si="31"/>
        <v>119</v>
      </c>
      <c r="B127" s="83" t="s">
        <v>810</v>
      </c>
      <c r="C127" s="83">
        <v>1994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</row>
    <row r="128" spans="1:44" x14ac:dyDescent="0.25">
      <c r="A128" s="41">
        <f t="shared" si="31"/>
        <v>120</v>
      </c>
      <c r="B128" s="83" t="s">
        <v>828</v>
      </c>
      <c r="C128" s="83">
        <v>1988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</row>
    <row r="129" spans="1:44" x14ac:dyDescent="0.25">
      <c r="A129" s="41">
        <f t="shared" si="31"/>
        <v>121</v>
      </c>
      <c r="B129" s="83" t="s">
        <v>811</v>
      </c>
      <c r="C129" s="83">
        <v>1969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</row>
    <row r="130" spans="1:44" x14ac:dyDescent="0.25">
      <c r="A130" s="41">
        <f t="shared" si="31"/>
        <v>122</v>
      </c>
      <c r="B130" s="83" t="s">
        <v>812</v>
      </c>
      <c r="C130" s="83">
        <v>1997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</row>
    <row r="131" spans="1:44" x14ac:dyDescent="0.25">
      <c r="A131" s="41">
        <f t="shared" si="31"/>
        <v>123</v>
      </c>
      <c r="B131" s="83" t="s">
        <v>813</v>
      </c>
      <c r="C131" s="83">
        <v>1996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</row>
    <row r="132" spans="1:44" x14ac:dyDescent="0.25">
      <c r="A132" s="41">
        <f t="shared" si="31"/>
        <v>124</v>
      </c>
      <c r="B132" s="83" t="s">
        <v>814</v>
      </c>
      <c r="C132" s="83">
        <v>1982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</row>
    <row r="133" spans="1:44" x14ac:dyDescent="0.25">
      <c r="A133" s="41">
        <f t="shared" si="31"/>
        <v>125</v>
      </c>
      <c r="B133" s="83" t="s">
        <v>815</v>
      </c>
      <c r="C133" s="83">
        <v>1997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</row>
    <row r="134" spans="1:44" x14ac:dyDescent="0.25">
      <c r="A134" s="41">
        <f t="shared" si="31"/>
        <v>126</v>
      </c>
      <c r="B134" s="83" t="s">
        <v>816</v>
      </c>
      <c r="C134" s="83">
        <v>1996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</row>
    <row r="135" spans="1:44" x14ac:dyDescent="0.25">
      <c r="A135" s="41">
        <f t="shared" si="31"/>
        <v>127</v>
      </c>
      <c r="B135" s="83" t="s">
        <v>817</v>
      </c>
      <c r="C135" s="83">
        <v>1981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</row>
    <row r="136" spans="1:44" x14ac:dyDescent="0.25">
      <c r="A136" s="41">
        <f t="shared" si="31"/>
        <v>128</v>
      </c>
      <c r="B136" s="83" t="s">
        <v>818</v>
      </c>
      <c r="C136" s="83">
        <v>1983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</row>
    <row r="137" spans="1:44" x14ac:dyDescent="0.25">
      <c r="A137" s="41">
        <f t="shared" si="31"/>
        <v>129</v>
      </c>
      <c r="B137" s="83" t="s">
        <v>116</v>
      </c>
      <c r="C137" s="83">
        <v>1990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</row>
    <row r="138" spans="1:44" x14ac:dyDescent="0.25">
      <c r="A138" s="41">
        <f t="shared" si="31"/>
        <v>130</v>
      </c>
      <c r="B138" s="83" t="s">
        <v>98</v>
      </c>
      <c r="C138" s="83">
        <v>1989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</row>
    <row r="139" spans="1:44" x14ac:dyDescent="0.25">
      <c r="A139" s="41">
        <f t="shared" si="31"/>
        <v>131</v>
      </c>
      <c r="B139" s="83" t="s">
        <v>775</v>
      </c>
      <c r="C139" s="83">
        <v>1985</v>
      </c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</row>
    <row r="140" spans="1:44" x14ac:dyDescent="0.25">
      <c r="A140" s="41">
        <f t="shared" si="31"/>
        <v>132</v>
      </c>
      <c r="B140" s="83" t="s">
        <v>794</v>
      </c>
      <c r="C140" s="83">
        <v>1992</v>
      </c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</row>
    <row r="141" spans="1:44" x14ac:dyDescent="0.25">
      <c r="A141" s="41">
        <f t="shared" si="31"/>
        <v>133</v>
      </c>
      <c r="B141" s="83" t="s">
        <v>776</v>
      </c>
      <c r="C141" s="83">
        <v>1997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</row>
    <row r="142" spans="1:44" x14ac:dyDescent="0.25">
      <c r="A142" s="41">
        <f t="shared" si="31"/>
        <v>134</v>
      </c>
      <c r="B142" s="83" t="s">
        <v>751</v>
      </c>
      <c r="C142" s="83">
        <v>1978</v>
      </c>
      <c r="D142" s="83"/>
      <c r="E142" s="83"/>
      <c r="F142" s="83"/>
      <c r="G142" s="83"/>
      <c r="H142" s="88">
        <v>19.279</v>
      </c>
      <c r="I142" s="88">
        <v>23.945</v>
      </c>
      <c r="J142" s="88">
        <v>29.018999999999998</v>
      </c>
      <c r="K142" s="88">
        <v>36.188000000000002</v>
      </c>
      <c r="L142" s="88">
        <v>44.347999999999999</v>
      </c>
      <c r="M142" s="88">
        <v>58.357999999999997</v>
      </c>
      <c r="N142" s="88">
        <v>78.911000000000001</v>
      </c>
      <c r="O142" s="88">
        <v>103.831</v>
      </c>
      <c r="P142" s="42">
        <v>134.178</v>
      </c>
      <c r="Q142" s="42">
        <v>176.68799999999999</v>
      </c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</row>
    <row r="143" spans="1:44" x14ac:dyDescent="0.25">
      <c r="A143" s="41">
        <f t="shared" si="31"/>
        <v>135</v>
      </c>
      <c r="B143" s="83" t="s">
        <v>31</v>
      </c>
      <c r="C143" s="83">
        <v>1998</v>
      </c>
      <c r="D143" s="83">
        <v>0</v>
      </c>
      <c r="E143" s="83">
        <v>0</v>
      </c>
      <c r="F143" s="83">
        <v>0</v>
      </c>
      <c r="G143" s="83">
        <v>0</v>
      </c>
      <c r="H143" s="83">
        <v>0</v>
      </c>
      <c r="I143" s="83">
        <v>0</v>
      </c>
      <c r="J143" s="83">
        <v>0</v>
      </c>
      <c r="K143" s="83">
        <v>0</v>
      </c>
      <c r="L143" s="83">
        <v>0</v>
      </c>
      <c r="M143" s="83">
        <v>0</v>
      </c>
      <c r="N143" s="83"/>
      <c r="O143" s="83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</row>
    <row r="144" spans="1:44" x14ac:dyDescent="0.25">
      <c r="A144" s="41">
        <f t="shared" si="31"/>
        <v>136</v>
      </c>
      <c r="B144" s="83" t="s">
        <v>153</v>
      </c>
      <c r="C144" s="83">
        <v>2011</v>
      </c>
      <c r="D144" s="83">
        <v>0</v>
      </c>
      <c r="E144" s="83">
        <v>0</v>
      </c>
      <c r="F144" s="83">
        <v>0</v>
      </c>
      <c r="G144" s="83">
        <v>0</v>
      </c>
      <c r="H144" s="83">
        <v>0</v>
      </c>
      <c r="I144" s="83">
        <v>0</v>
      </c>
      <c r="J144" s="83">
        <v>0</v>
      </c>
      <c r="K144" s="83">
        <v>0</v>
      </c>
      <c r="L144" s="83">
        <v>0</v>
      </c>
      <c r="M144" s="83">
        <v>0</v>
      </c>
      <c r="N144" s="83">
        <v>0</v>
      </c>
      <c r="O144" s="83">
        <v>0</v>
      </c>
      <c r="P144" s="42">
        <v>0</v>
      </c>
      <c r="Q144" s="42">
        <v>0</v>
      </c>
      <c r="R144" s="42">
        <v>0</v>
      </c>
      <c r="S144" s="42">
        <v>0</v>
      </c>
      <c r="T144" s="42">
        <v>0</v>
      </c>
      <c r="U144" s="42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</row>
    <row r="145" spans="1:44" x14ac:dyDescent="0.25">
      <c r="A145" s="41">
        <f t="shared" si="31"/>
        <v>137</v>
      </c>
      <c r="B145" s="83" t="s">
        <v>189</v>
      </c>
      <c r="C145" s="83">
        <v>2009</v>
      </c>
      <c r="D145" s="83">
        <v>0</v>
      </c>
      <c r="E145" s="83">
        <v>0</v>
      </c>
      <c r="F145" s="83">
        <v>0</v>
      </c>
      <c r="G145" s="83">
        <v>0</v>
      </c>
      <c r="H145" s="83">
        <v>0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</row>
    <row r="146" spans="1:44" x14ac:dyDescent="0.25">
      <c r="A146" s="41">
        <f t="shared" si="31"/>
        <v>138</v>
      </c>
      <c r="B146" s="83" t="s">
        <v>180</v>
      </c>
      <c r="C146" s="83">
        <v>2007</v>
      </c>
      <c r="D146" s="83">
        <v>0</v>
      </c>
      <c r="E146" s="83">
        <v>0</v>
      </c>
      <c r="F146" s="83">
        <v>0</v>
      </c>
      <c r="G146" s="83">
        <v>0</v>
      </c>
      <c r="H146" s="83">
        <v>0</v>
      </c>
      <c r="I146" s="83">
        <v>0</v>
      </c>
      <c r="J146" s="83">
        <v>0</v>
      </c>
      <c r="K146" s="83">
        <v>0</v>
      </c>
      <c r="L146" s="83">
        <v>0</v>
      </c>
      <c r="M146" s="83">
        <v>0</v>
      </c>
      <c r="N146" s="83">
        <v>0</v>
      </c>
      <c r="O146" s="83">
        <v>0</v>
      </c>
      <c r="P146" s="42">
        <v>0</v>
      </c>
      <c r="Q146" s="42">
        <v>0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</row>
    <row r="147" spans="1:44" x14ac:dyDescent="0.25">
      <c r="A147" s="41">
        <f t="shared" si="31"/>
        <v>139</v>
      </c>
      <c r="B147" s="83" t="s">
        <v>80</v>
      </c>
      <c r="C147" s="83">
        <v>1993</v>
      </c>
      <c r="D147" s="83">
        <v>0</v>
      </c>
      <c r="E147" s="83">
        <v>0</v>
      </c>
      <c r="F147" s="83">
        <v>0</v>
      </c>
      <c r="G147" s="83">
        <v>0</v>
      </c>
      <c r="H147" s="83">
        <v>0</v>
      </c>
      <c r="I147" s="83"/>
      <c r="J147" s="83"/>
      <c r="K147" s="83"/>
      <c r="L147" s="83"/>
      <c r="M147" s="83"/>
      <c r="N147" s="83"/>
      <c r="O147" s="83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</row>
    <row r="148" spans="1:44" x14ac:dyDescent="0.25">
      <c r="A148" s="41">
        <f t="shared" si="31"/>
        <v>140</v>
      </c>
      <c r="B148" s="83" t="s">
        <v>752</v>
      </c>
      <c r="C148" s="83">
        <v>1979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</row>
    <row r="149" spans="1:44" x14ac:dyDescent="0.25">
      <c r="A149" s="41">
        <f t="shared" si="31"/>
        <v>141</v>
      </c>
      <c r="B149" s="83" t="s">
        <v>406</v>
      </c>
      <c r="C149" s="83">
        <v>1979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</row>
    <row r="150" spans="1:44" x14ac:dyDescent="0.25">
      <c r="A150" s="41">
        <f t="shared" si="31"/>
        <v>142</v>
      </c>
      <c r="B150" s="83" t="s">
        <v>778</v>
      </c>
      <c r="C150" s="83">
        <v>1999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</row>
    <row r="151" spans="1:44" x14ac:dyDescent="0.25">
      <c r="A151" s="41">
        <f t="shared" si="31"/>
        <v>143</v>
      </c>
      <c r="B151" s="83" t="s">
        <v>799</v>
      </c>
      <c r="C151" s="83">
        <v>2002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</row>
    <row r="152" spans="1:44" x14ac:dyDescent="0.25">
      <c r="A152" s="41">
        <f t="shared" si="31"/>
        <v>144</v>
      </c>
      <c r="B152" s="83" t="s">
        <v>801</v>
      </c>
      <c r="C152" s="83">
        <v>1996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</row>
    <row r="153" spans="1:44" x14ac:dyDescent="0.25">
      <c r="A153" s="41">
        <f t="shared" si="31"/>
        <v>145</v>
      </c>
      <c r="B153" s="83" t="s">
        <v>800</v>
      </c>
      <c r="C153" s="83">
        <v>2007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</row>
    <row r="154" spans="1:44" x14ac:dyDescent="0.25">
      <c r="A154" s="41">
        <f t="shared" si="31"/>
        <v>146</v>
      </c>
      <c r="B154" s="83" t="s">
        <v>819</v>
      </c>
      <c r="C154" s="83">
        <v>1995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</row>
    <row r="155" spans="1:44" x14ac:dyDescent="0.25">
      <c r="A155" s="41">
        <f t="shared" si="31"/>
        <v>147</v>
      </c>
      <c r="B155" s="83" t="s">
        <v>820</v>
      </c>
      <c r="C155" s="83">
        <v>1976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</row>
    <row r="156" spans="1:44" x14ac:dyDescent="0.25">
      <c r="A156" s="41">
        <f t="shared" si="31"/>
        <v>148</v>
      </c>
      <c r="B156" s="83" t="s">
        <v>829</v>
      </c>
      <c r="C156" s="83">
        <v>1996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</row>
    <row r="157" spans="1:44" x14ac:dyDescent="0.25">
      <c r="A157" s="41">
        <f t="shared" si="31"/>
        <v>149</v>
      </c>
      <c r="B157" s="83" t="s">
        <v>821</v>
      </c>
      <c r="C157" s="83">
        <v>1996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</row>
    <row r="158" spans="1:44" x14ac:dyDescent="0.25">
      <c r="A158" s="41">
        <f t="shared" si="31"/>
        <v>150</v>
      </c>
      <c r="B158" s="83" t="s">
        <v>822</v>
      </c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</row>
    <row r="159" spans="1:44" x14ac:dyDescent="0.25">
      <c r="A159" s="41">
        <f t="shared" si="31"/>
        <v>151</v>
      </c>
      <c r="B159" s="83" t="s">
        <v>856</v>
      </c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</row>
    <row r="160" spans="1:44" x14ac:dyDescent="0.25">
      <c r="A160" s="41">
        <f t="shared" si="31"/>
        <v>152</v>
      </c>
      <c r="B160" s="83" t="s">
        <v>857</v>
      </c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</row>
    <row r="161" spans="1:44" x14ac:dyDescent="0.25">
      <c r="A161" s="41">
        <f t="shared" si="31"/>
        <v>153</v>
      </c>
      <c r="B161" s="83" t="s">
        <v>82</v>
      </c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</row>
    <row r="162" spans="1:44" x14ac:dyDescent="0.25">
      <c r="A162" s="41">
        <f t="shared" si="31"/>
        <v>154</v>
      </c>
      <c r="B162" s="83" t="s">
        <v>855</v>
      </c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</row>
    <row r="163" spans="1:44" x14ac:dyDescent="0.25">
      <c r="A163" s="41">
        <f t="shared" si="31"/>
        <v>155</v>
      </c>
      <c r="B163" s="83" t="s">
        <v>859</v>
      </c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</row>
    <row r="164" spans="1:44" x14ac:dyDescent="0.25">
      <c r="A164" s="41">
        <f t="shared" si="31"/>
        <v>156</v>
      </c>
      <c r="B164" s="83" t="s">
        <v>860</v>
      </c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</row>
    <row r="165" spans="1:44" x14ac:dyDescent="0.25">
      <c r="A165" s="41">
        <f t="shared" si="31"/>
        <v>157</v>
      </c>
      <c r="B165" s="83" t="s">
        <v>823</v>
      </c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</row>
    <row r="166" spans="1:44" x14ac:dyDescent="0.25">
      <c r="A166" s="41">
        <f t="shared" si="31"/>
        <v>158</v>
      </c>
      <c r="B166" s="83" t="s">
        <v>861</v>
      </c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</row>
    <row r="167" spans="1:44" x14ac:dyDescent="0.25">
      <c r="A167" s="41">
        <f t="shared" si="31"/>
        <v>159</v>
      </c>
      <c r="B167" s="83" t="s">
        <v>862</v>
      </c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</row>
    <row r="168" spans="1:44" x14ac:dyDescent="0.25">
      <c r="A168" s="41">
        <f t="shared" si="31"/>
        <v>160</v>
      </c>
      <c r="B168" s="83" t="s">
        <v>863</v>
      </c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</row>
    <row r="169" spans="1:44" x14ac:dyDescent="0.25">
      <c r="A169" s="41">
        <f t="shared" si="31"/>
        <v>161</v>
      </c>
      <c r="B169" s="83" t="s">
        <v>824</v>
      </c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</row>
    <row r="170" spans="1:44" x14ac:dyDescent="0.25">
      <c r="A170" s="41">
        <f t="shared" si="31"/>
        <v>162</v>
      </c>
      <c r="B170" s="83" t="s">
        <v>858</v>
      </c>
      <c r="C170" s="83">
        <v>1984</v>
      </c>
      <c r="D170" s="88">
        <f t="shared" ref="D170:K170" si="58">+E170*0.7</f>
        <v>1.2913154239999993</v>
      </c>
      <c r="E170" s="88">
        <f t="shared" si="58"/>
        <v>1.8447363199999991</v>
      </c>
      <c r="F170" s="88">
        <f t="shared" si="58"/>
        <v>2.6353375999999988</v>
      </c>
      <c r="G170" s="88">
        <f t="shared" si="58"/>
        <v>3.7647679999999983</v>
      </c>
      <c r="H170" s="88">
        <f t="shared" si="58"/>
        <v>5.3782399999999981</v>
      </c>
      <c r="I170" s="88">
        <f t="shared" si="58"/>
        <v>7.6831999999999976</v>
      </c>
      <c r="J170" s="88">
        <f t="shared" si="58"/>
        <v>10.975999999999997</v>
      </c>
      <c r="K170" s="88">
        <f t="shared" si="58"/>
        <v>15.679999999999998</v>
      </c>
      <c r="L170" s="88">
        <f>+M170*0.7</f>
        <v>22.4</v>
      </c>
      <c r="M170" s="88">
        <v>32</v>
      </c>
      <c r="N170" s="88">
        <v>52</v>
      </c>
      <c r="O170" s="88">
        <v>86</v>
      </c>
      <c r="P170" s="88">
        <v>132</v>
      </c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</row>
    <row r="171" spans="1:44" x14ac:dyDescent="0.25">
      <c r="A171" s="41">
        <f t="shared" si="31"/>
        <v>163</v>
      </c>
      <c r="B171" s="83" t="s">
        <v>753</v>
      </c>
      <c r="C171" s="83">
        <v>2001</v>
      </c>
      <c r="D171" s="83">
        <v>0</v>
      </c>
      <c r="E171" s="83">
        <v>0</v>
      </c>
      <c r="F171" s="83">
        <v>0</v>
      </c>
      <c r="G171" s="83">
        <v>0</v>
      </c>
      <c r="H171" s="83">
        <v>0</v>
      </c>
      <c r="I171" s="83">
        <v>0</v>
      </c>
      <c r="J171" s="83">
        <v>0</v>
      </c>
      <c r="K171" s="83">
        <v>0</v>
      </c>
      <c r="L171" s="83">
        <v>0</v>
      </c>
      <c r="M171" s="83">
        <v>0</v>
      </c>
      <c r="N171" s="83">
        <v>0</v>
      </c>
      <c r="O171" s="83">
        <v>0</v>
      </c>
      <c r="P171" s="83">
        <v>0</v>
      </c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</row>
    <row r="172" spans="1:44" x14ac:dyDescent="0.25">
      <c r="A172" s="41">
        <f t="shared" si="31"/>
        <v>164</v>
      </c>
      <c r="B172" s="83" t="s">
        <v>754</v>
      </c>
      <c r="C172" s="83">
        <v>1976</v>
      </c>
      <c r="D172" s="88">
        <v>842</v>
      </c>
      <c r="E172" s="88">
        <f t="shared" ref="E172:J172" si="59">+D172*1.2</f>
        <v>1010.4</v>
      </c>
      <c r="F172" s="88">
        <f t="shared" si="59"/>
        <v>1212.48</v>
      </c>
      <c r="G172" s="88">
        <f t="shared" si="59"/>
        <v>1454.9759999999999</v>
      </c>
      <c r="H172" s="88">
        <f t="shared" si="59"/>
        <v>1745.9711999999997</v>
      </c>
      <c r="I172" s="88">
        <f t="shared" si="59"/>
        <v>2095.1654399999998</v>
      </c>
      <c r="J172" s="88">
        <f t="shared" si="59"/>
        <v>2514.1985279999994</v>
      </c>
      <c r="K172" s="88">
        <v>2600</v>
      </c>
      <c r="L172" s="88">
        <f>+K172*1.3</f>
        <v>3380</v>
      </c>
      <c r="M172" s="88">
        <f>+L172*1.3</f>
        <v>4394</v>
      </c>
      <c r="N172" s="88">
        <v>4710</v>
      </c>
      <c r="O172" s="88">
        <v>5250</v>
      </c>
      <c r="P172" s="42">
        <v>6100</v>
      </c>
      <c r="Q172" s="42">
        <v>4190</v>
      </c>
      <c r="R172" s="42">
        <v>2960</v>
      </c>
      <c r="S172" s="42">
        <v>3110</v>
      </c>
      <c r="T172" s="42">
        <v>3270</v>
      </c>
      <c r="U172" s="42">
        <v>3530</v>
      </c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</row>
    <row r="173" spans="1:44" x14ac:dyDescent="0.25">
      <c r="A173" s="41">
        <f t="shared" si="31"/>
        <v>165</v>
      </c>
      <c r="B173" s="83" t="s">
        <v>755</v>
      </c>
      <c r="C173" s="83">
        <v>1978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</row>
    <row r="174" spans="1:44" x14ac:dyDescent="0.25">
      <c r="A174" s="41">
        <f t="shared" si="31"/>
        <v>166</v>
      </c>
      <c r="B174" s="83" t="s">
        <v>494</v>
      </c>
      <c r="C174" s="83">
        <v>1993</v>
      </c>
      <c r="D174" s="83">
        <v>0</v>
      </c>
      <c r="E174" s="83">
        <v>0</v>
      </c>
      <c r="F174" s="83">
        <v>0</v>
      </c>
      <c r="G174" s="83">
        <v>0</v>
      </c>
      <c r="H174" s="83">
        <v>0</v>
      </c>
      <c r="I174" s="83"/>
      <c r="J174" s="83"/>
      <c r="K174" s="83"/>
      <c r="L174" s="83"/>
      <c r="M174" s="83"/>
      <c r="N174" s="83"/>
      <c r="O174" s="83"/>
      <c r="P174" s="42"/>
      <c r="Q174" s="42"/>
      <c r="R174" s="42"/>
      <c r="S174" s="42"/>
      <c r="T174" s="42"/>
      <c r="U174" s="42">
        <v>267.43099999999998</v>
      </c>
      <c r="V174" s="42">
        <v>324.59800000000001</v>
      </c>
      <c r="W174" s="42">
        <v>391.25599999999997</v>
      </c>
      <c r="X174" s="42">
        <v>455.69900000000001</v>
      </c>
      <c r="Y174" s="42">
        <v>500.69299999999998</v>
      </c>
      <c r="Z174" s="42">
        <v>650.07600000000002</v>
      </c>
      <c r="AA174" s="42">
        <v>783.779</v>
      </c>
      <c r="AB174" s="42">
        <v>811.57100000000003</v>
      </c>
      <c r="AC174" s="42">
        <v>948.17100000000005</v>
      </c>
      <c r="AD174" s="42">
        <v>1047.954</v>
      </c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</row>
    <row r="175" spans="1:44" x14ac:dyDescent="0.25">
      <c r="A175" s="41">
        <f t="shared" si="31"/>
        <v>167</v>
      </c>
      <c r="B175" s="83" t="s">
        <v>756</v>
      </c>
      <c r="C175" s="83">
        <v>1980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</row>
    <row r="176" spans="1:44" x14ac:dyDescent="0.25">
      <c r="A176" s="41">
        <f t="shared" si="31"/>
        <v>168</v>
      </c>
      <c r="B176" s="83" t="s">
        <v>757</v>
      </c>
      <c r="C176" s="83">
        <v>1984</v>
      </c>
      <c r="D176" s="88">
        <f t="shared" ref="D176:F177" si="60">+E176*0.5</f>
        <v>18.181750000000001</v>
      </c>
      <c r="E176" s="88">
        <f t="shared" si="60"/>
        <v>36.363500000000002</v>
      </c>
      <c r="F176" s="88">
        <f t="shared" si="60"/>
        <v>72.727000000000004</v>
      </c>
      <c r="G176" s="88">
        <f>+H176*0.5</f>
        <v>145.45400000000001</v>
      </c>
      <c r="H176" s="88">
        <v>290.90800000000002</v>
      </c>
      <c r="I176" s="88">
        <v>484.05</v>
      </c>
      <c r="J176" s="88">
        <v>825.39300000000003</v>
      </c>
      <c r="K176" s="88">
        <v>956.58600000000001</v>
      </c>
      <c r="L176" s="88">
        <v>1011.545</v>
      </c>
      <c r="M176" s="88">
        <v>903.93700000000001</v>
      </c>
      <c r="N176" s="88">
        <v>872.64</v>
      </c>
      <c r="O176" s="88">
        <v>874.17100000000005</v>
      </c>
      <c r="P176" s="42">
        <v>963.16300000000001</v>
      </c>
      <c r="Q176" s="42">
        <v>927.923</v>
      </c>
      <c r="R176" s="42">
        <v>829.86099999999999</v>
      </c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</row>
    <row r="177" spans="1:46" x14ac:dyDescent="0.25">
      <c r="A177" s="41">
        <f t="shared" si="31"/>
        <v>169</v>
      </c>
      <c r="B177" s="83" t="s">
        <v>758</v>
      </c>
      <c r="C177" s="83">
        <v>1979</v>
      </c>
      <c r="D177" s="88">
        <f t="shared" si="60"/>
        <v>210.9385</v>
      </c>
      <c r="E177" s="88">
        <v>421.87700000000001</v>
      </c>
      <c r="F177" s="88">
        <v>497.512</v>
      </c>
      <c r="G177" s="88">
        <v>640.07899999999995</v>
      </c>
      <c r="H177" s="88">
        <v>933.37</v>
      </c>
      <c r="I177" s="88">
        <v>1122.896</v>
      </c>
      <c r="J177" s="83"/>
      <c r="K177" s="83"/>
      <c r="L177" s="83"/>
      <c r="M177" s="83"/>
      <c r="N177" s="83"/>
      <c r="O177" s="83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</row>
    <row r="178" spans="1:46" x14ac:dyDescent="0.25">
      <c r="A178" s="41">
        <f t="shared" si="31"/>
        <v>170</v>
      </c>
      <c r="B178" s="83" t="s">
        <v>759</v>
      </c>
      <c r="C178" s="83">
        <v>1998</v>
      </c>
      <c r="D178" s="83">
        <v>0</v>
      </c>
      <c r="E178" s="83">
        <v>0</v>
      </c>
      <c r="F178" s="83">
        <v>0</v>
      </c>
      <c r="G178" s="83">
        <v>0</v>
      </c>
      <c r="H178" s="83">
        <v>0</v>
      </c>
      <c r="I178" s="83">
        <v>0</v>
      </c>
      <c r="J178" s="83">
        <v>0</v>
      </c>
      <c r="K178" s="83">
        <v>0</v>
      </c>
      <c r="L178" s="83">
        <v>0</v>
      </c>
      <c r="M178" s="83">
        <v>0</v>
      </c>
      <c r="N178" s="42">
        <f t="shared" ref="N178:Q178" si="61">+O178*0.5</f>
        <v>2.3187500000000001</v>
      </c>
      <c r="O178" s="42">
        <f t="shared" si="61"/>
        <v>4.6375000000000002</v>
      </c>
      <c r="P178" s="42">
        <f t="shared" si="61"/>
        <v>9.2750000000000004</v>
      </c>
      <c r="Q178" s="42">
        <f t="shared" si="61"/>
        <v>18.55</v>
      </c>
      <c r="R178" s="42">
        <f>+S178*0.5</f>
        <v>37.1</v>
      </c>
      <c r="S178" s="42">
        <v>74.2</v>
      </c>
      <c r="T178" s="42">
        <v>218.8</v>
      </c>
      <c r="U178" s="42">
        <v>387.1</v>
      </c>
      <c r="V178" s="42">
        <v>703.9</v>
      </c>
      <c r="W178" s="42">
        <v>1325.8</v>
      </c>
      <c r="X178" s="42">
        <v>1881</v>
      </c>
      <c r="Y178" s="42">
        <v>2023.9</v>
      </c>
      <c r="Z178" s="42">
        <v>2857.3</v>
      </c>
      <c r="AA178" s="42">
        <v>3767.1</v>
      </c>
      <c r="AB178" s="42">
        <v>4605</v>
      </c>
      <c r="AC178" s="42">
        <v>5207</v>
      </c>
      <c r="AD178" s="42">
        <v>6035</v>
      </c>
      <c r="AE178" s="42">
        <v>6571</v>
      </c>
      <c r="AF178" s="42">
        <v>7093</v>
      </c>
      <c r="AG178" s="42">
        <v>7922</v>
      </c>
      <c r="AH178" s="42">
        <v>8336</v>
      </c>
      <c r="AI178" s="42">
        <v>9613</v>
      </c>
      <c r="AJ178" s="42">
        <v>10811</v>
      </c>
      <c r="AK178" s="42">
        <v>11800</v>
      </c>
      <c r="AL178" s="42">
        <v>12900</v>
      </c>
      <c r="AM178" s="42">
        <v>13350</v>
      </c>
      <c r="AN178" s="88" t="s">
        <v>890</v>
      </c>
      <c r="AO178" s="42"/>
      <c r="AP178" s="42"/>
      <c r="AQ178" s="42"/>
      <c r="AR178" s="92"/>
      <c r="AS178" s="93"/>
      <c r="AT178" s="93"/>
    </row>
    <row r="179" spans="1:46" x14ac:dyDescent="0.25">
      <c r="A179" s="41">
        <f t="shared" si="31"/>
        <v>171</v>
      </c>
      <c r="B179" s="83" t="s">
        <v>870</v>
      </c>
      <c r="C179" s="83">
        <v>1976</v>
      </c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</row>
    <row r="180" spans="1:46" x14ac:dyDescent="0.25">
      <c r="A180" s="41">
        <f t="shared" si="31"/>
        <v>172</v>
      </c>
      <c r="B180" s="83" t="s">
        <v>411</v>
      </c>
      <c r="C180" s="83">
        <v>1993</v>
      </c>
      <c r="D180" s="83">
        <v>0</v>
      </c>
      <c r="E180" s="83">
        <v>0</v>
      </c>
      <c r="F180" s="83">
        <v>0</v>
      </c>
      <c r="G180" s="83">
        <v>0</v>
      </c>
      <c r="H180" s="83">
        <v>0</v>
      </c>
      <c r="I180" s="88">
        <f t="shared" ref="I180:J180" si="62">+J180*0.5</f>
        <v>0.32500000000000001</v>
      </c>
      <c r="J180" s="88">
        <f t="shared" si="62"/>
        <v>0.65</v>
      </c>
      <c r="K180" s="88">
        <f>+L180*0.5</f>
        <v>1.3</v>
      </c>
      <c r="L180" s="88">
        <v>2.6</v>
      </c>
      <c r="M180" s="88">
        <v>5.0999999999999996</v>
      </c>
      <c r="N180" s="88">
        <v>10.8</v>
      </c>
      <c r="O180" s="88">
        <v>42.4</v>
      </c>
      <c r="P180" s="42">
        <v>84</v>
      </c>
      <c r="Q180" s="42">
        <v>78.900000000000006</v>
      </c>
      <c r="R180" s="42">
        <v>90.9</v>
      </c>
      <c r="S180" s="42">
        <v>126.1</v>
      </c>
      <c r="T180" s="42">
        <v>196</v>
      </c>
      <c r="U180" s="42">
        <v>278.3</v>
      </c>
      <c r="V180" s="42">
        <v>400.6</v>
      </c>
      <c r="W180" s="42">
        <v>523</v>
      </c>
      <c r="X180" s="42">
        <v>652.6</v>
      </c>
      <c r="Y180" s="42">
        <v>748.2</v>
      </c>
      <c r="Z180" s="42">
        <v>909.3</v>
      </c>
      <c r="AA180" s="42">
        <v>1130</v>
      </c>
      <c r="AB180" s="42">
        <v>1330</v>
      </c>
      <c r="AC180" s="42">
        <v>1530</v>
      </c>
      <c r="AD180" s="42">
        <v>1790</v>
      </c>
      <c r="AE180" s="42">
        <v>2050</v>
      </c>
      <c r="AF180" s="42">
        <v>2400</v>
      </c>
      <c r="AG180" s="42">
        <v>2900</v>
      </c>
      <c r="AH180" s="42">
        <v>3400</v>
      </c>
      <c r="AI180" s="88" t="s">
        <v>886</v>
      </c>
      <c r="AJ180" s="42"/>
      <c r="AK180" s="42"/>
      <c r="AL180" s="92"/>
      <c r="AM180" s="92"/>
      <c r="AN180" s="92"/>
      <c r="AO180" s="92"/>
      <c r="AP180" s="92"/>
      <c r="AQ180" s="92"/>
      <c r="AR180" s="92"/>
      <c r="AS180" s="93"/>
      <c r="AT180" s="93"/>
    </row>
    <row r="181" spans="1:46" x14ac:dyDescent="0.25">
      <c r="A181" s="41">
        <f t="shared" si="31"/>
        <v>173</v>
      </c>
      <c r="B181" s="83" t="s">
        <v>779</v>
      </c>
      <c r="C181" s="83">
        <v>2012</v>
      </c>
      <c r="D181" s="83">
        <v>0</v>
      </c>
      <c r="E181" s="83">
        <v>0</v>
      </c>
      <c r="F181" s="83">
        <v>0</v>
      </c>
      <c r="G181" s="83">
        <v>0</v>
      </c>
      <c r="H181" s="83">
        <v>0</v>
      </c>
      <c r="I181" s="83">
        <v>0</v>
      </c>
      <c r="J181" s="83">
        <v>0</v>
      </c>
      <c r="K181" s="83">
        <v>0</v>
      </c>
      <c r="L181" s="83">
        <v>0</v>
      </c>
      <c r="M181" s="83">
        <v>0</v>
      </c>
      <c r="N181" s="83">
        <v>0</v>
      </c>
      <c r="O181" s="83">
        <v>0</v>
      </c>
      <c r="P181" s="83">
        <v>0</v>
      </c>
      <c r="Q181" s="83">
        <v>0</v>
      </c>
      <c r="R181" s="83">
        <v>0</v>
      </c>
      <c r="S181" s="83">
        <v>0</v>
      </c>
      <c r="T181" s="83">
        <v>0</v>
      </c>
      <c r="U181" s="83">
        <v>0</v>
      </c>
      <c r="V181" s="83">
        <v>0</v>
      </c>
      <c r="W181" s="83">
        <v>0</v>
      </c>
      <c r="X181" s="83">
        <v>0</v>
      </c>
      <c r="Y181" s="83">
        <v>0</v>
      </c>
      <c r="Z181" s="83">
        <v>0</v>
      </c>
      <c r="AA181" s="83">
        <v>0</v>
      </c>
      <c r="AB181" s="42">
        <f t="shared" ref="AB181:AF181" si="63">+AC181*0.5</f>
        <v>0.84218749999999998</v>
      </c>
      <c r="AC181" s="42">
        <f t="shared" si="63"/>
        <v>1.684375</v>
      </c>
      <c r="AD181" s="42">
        <f t="shared" si="63"/>
        <v>3.3687499999999999</v>
      </c>
      <c r="AE181" s="42">
        <f t="shared" si="63"/>
        <v>6.7374999999999998</v>
      </c>
      <c r="AF181" s="42">
        <f t="shared" si="63"/>
        <v>13.475</v>
      </c>
      <c r="AG181" s="42">
        <f>+AH181*0.5</f>
        <v>26.95</v>
      </c>
      <c r="AH181" s="42">
        <v>53.9</v>
      </c>
      <c r="AI181" s="42">
        <v>121.3</v>
      </c>
      <c r="AJ181" s="42">
        <v>211.9</v>
      </c>
      <c r="AK181" s="42">
        <v>321</v>
      </c>
      <c r="AL181" s="42">
        <v>476</v>
      </c>
      <c r="AM181" s="42">
        <v>583</v>
      </c>
      <c r="AN181" s="88" t="s">
        <v>887</v>
      </c>
      <c r="AO181" s="42"/>
      <c r="AP181" s="42"/>
      <c r="AQ181" s="42"/>
      <c r="AR181" s="92"/>
      <c r="AS181" s="93"/>
      <c r="AT181" s="93"/>
    </row>
    <row r="182" spans="1:46" x14ac:dyDescent="0.25">
      <c r="A182" s="41">
        <f t="shared" si="31"/>
        <v>174</v>
      </c>
      <c r="B182" s="83" t="s">
        <v>450</v>
      </c>
      <c r="C182" s="83">
        <v>1994</v>
      </c>
      <c r="D182" s="83">
        <v>0</v>
      </c>
      <c r="E182" s="83">
        <v>0</v>
      </c>
      <c r="F182" s="83">
        <v>0</v>
      </c>
      <c r="G182" s="83">
        <v>0</v>
      </c>
      <c r="H182" s="83">
        <v>0</v>
      </c>
      <c r="I182" s="83">
        <v>0</v>
      </c>
      <c r="J182" s="83">
        <v>0</v>
      </c>
      <c r="K182" s="88">
        <v>85.4</v>
      </c>
      <c r="L182" s="88">
        <v>346.2</v>
      </c>
      <c r="M182" s="88">
        <v>533.9</v>
      </c>
      <c r="N182" s="83" t="s">
        <v>888</v>
      </c>
      <c r="O182" s="83"/>
      <c r="P182" s="42"/>
      <c r="Q182" s="4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3"/>
      <c r="AT182" s="93"/>
    </row>
    <row r="183" spans="1:46" x14ac:dyDescent="0.25">
      <c r="A183" s="41">
        <f t="shared" si="31"/>
        <v>175</v>
      </c>
      <c r="B183" s="83" t="s">
        <v>780</v>
      </c>
      <c r="C183" s="83">
        <v>1996</v>
      </c>
      <c r="D183" s="88">
        <v>0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0.8</v>
      </c>
      <c r="N183" s="88">
        <v>8.3629999999999995</v>
      </c>
      <c r="O183" s="88">
        <v>45.4</v>
      </c>
      <c r="P183" s="42">
        <v>279</v>
      </c>
      <c r="Q183" s="42">
        <v>229.803</v>
      </c>
      <c r="R183" s="42">
        <v>236.69800000000001</v>
      </c>
      <c r="S183" s="42">
        <v>245.798</v>
      </c>
      <c r="T183" s="42">
        <v>323.04300000000001</v>
      </c>
      <c r="U183" s="42">
        <v>296.01600000000002</v>
      </c>
      <c r="V183" s="42">
        <v>232.12299999999999</v>
      </c>
      <c r="W183" s="42">
        <v>264.45699999999999</v>
      </c>
      <c r="X183" s="42">
        <v>285.70499999999998</v>
      </c>
      <c r="Y183" s="42">
        <v>320.399</v>
      </c>
      <c r="Z183" s="42">
        <v>443.84500000000003</v>
      </c>
      <c r="AA183" s="42">
        <f>+Z183</f>
        <v>443.84500000000003</v>
      </c>
      <c r="AB183" s="88" t="s">
        <v>889</v>
      </c>
      <c r="AC183" s="42"/>
      <c r="AD183" s="4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3"/>
      <c r="AT183" s="93"/>
    </row>
    <row r="184" spans="1:46" x14ac:dyDescent="0.25">
      <c r="A184" s="41">
        <f t="shared" si="31"/>
        <v>176</v>
      </c>
      <c r="B184" s="83" t="s">
        <v>781</v>
      </c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</row>
    <row r="185" spans="1:46" x14ac:dyDescent="0.25">
      <c r="A185" s="41">
        <f t="shared" si="31"/>
        <v>177</v>
      </c>
      <c r="B185" s="83" t="s">
        <v>782</v>
      </c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</row>
    <row r="186" spans="1:46" x14ac:dyDescent="0.25">
      <c r="A186" s="41">
        <f t="shared" si="31"/>
        <v>178</v>
      </c>
      <c r="B186" s="83" t="s">
        <v>783</v>
      </c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</row>
    <row r="187" spans="1:46" x14ac:dyDescent="0.25">
      <c r="A187" s="41">
        <f t="shared" si="31"/>
        <v>179</v>
      </c>
      <c r="B187" s="83" t="s">
        <v>784</v>
      </c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</row>
    <row r="188" spans="1:46" x14ac:dyDescent="0.25">
      <c r="A188" s="41">
        <f t="shared" si="31"/>
        <v>180</v>
      </c>
      <c r="B188" s="83" t="s">
        <v>796</v>
      </c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</row>
    <row r="189" spans="1:46" x14ac:dyDescent="0.25">
      <c r="A189" s="41">
        <f t="shared" si="31"/>
        <v>181</v>
      </c>
      <c r="B189" s="83" t="s">
        <v>797</v>
      </c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</row>
    <row r="190" spans="1:46" x14ac:dyDescent="0.25">
      <c r="A190" s="41">
        <f t="shared" si="31"/>
        <v>182</v>
      </c>
      <c r="B190" s="83" t="s">
        <v>416</v>
      </c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</row>
    <row r="191" spans="1:46" x14ac:dyDescent="0.25">
      <c r="A191" s="41">
        <f t="shared" si="31"/>
        <v>183</v>
      </c>
      <c r="B191" s="83" t="s">
        <v>798</v>
      </c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</row>
    <row r="192" spans="1:46" x14ac:dyDescent="0.25">
      <c r="A192" s="41">
        <f t="shared" si="31"/>
        <v>184</v>
      </c>
      <c r="B192" s="83" t="s">
        <v>785</v>
      </c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</row>
    <row r="193" spans="1:44" x14ac:dyDescent="0.25">
      <c r="A193" s="41">
        <f t="shared" si="31"/>
        <v>185</v>
      </c>
      <c r="B193" s="83" t="s">
        <v>786</v>
      </c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</row>
    <row r="194" spans="1:44" x14ac:dyDescent="0.25">
      <c r="A194" s="41">
        <f t="shared" si="31"/>
        <v>186</v>
      </c>
      <c r="B194" s="83" t="s">
        <v>477</v>
      </c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42"/>
      <c r="Q194" s="42"/>
      <c r="R194" s="42"/>
      <c r="S194" s="42"/>
      <c r="T194" s="88" t="s">
        <v>773</v>
      </c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</row>
    <row r="195" spans="1:44" x14ac:dyDescent="0.25">
      <c r="A195" s="41">
        <f t="shared" si="31"/>
        <v>187</v>
      </c>
      <c r="B195" s="83" t="s">
        <v>760</v>
      </c>
      <c r="C195" s="83">
        <v>1985</v>
      </c>
      <c r="D195" s="83"/>
      <c r="E195" s="83"/>
      <c r="F195" s="83"/>
      <c r="G195" s="83"/>
      <c r="H195" s="83"/>
      <c r="I195" s="83"/>
      <c r="J195" s="83"/>
      <c r="K195" s="83"/>
      <c r="L195" s="83"/>
      <c r="M195" s="83">
        <v>260</v>
      </c>
      <c r="N195" s="83"/>
      <c r="O195" s="83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</row>
    <row r="196" spans="1:44" x14ac:dyDescent="0.25">
      <c r="A196" s="41">
        <f t="shared" si="31"/>
        <v>188</v>
      </c>
      <c r="B196" s="83" t="s">
        <v>182</v>
      </c>
      <c r="C196" s="83">
        <v>2007</v>
      </c>
      <c r="D196" s="83">
        <v>0</v>
      </c>
      <c r="E196" s="83">
        <v>0</v>
      </c>
      <c r="F196" s="83">
        <v>0</v>
      </c>
      <c r="G196" s="83">
        <v>0</v>
      </c>
      <c r="H196" s="83">
        <v>0</v>
      </c>
      <c r="I196" s="83">
        <v>0</v>
      </c>
      <c r="J196" s="83">
        <v>0</v>
      </c>
      <c r="K196" s="83">
        <v>0</v>
      </c>
      <c r="L196" s="83">
        <v>0</v>
      </c>
      <c r="M196" s="83">
        <v>0</v>
      </c>
      <c r="N196" s="83">
        <v>0</v>
      </c>
      <c r="O196" s="83">
        <v>0</v>
      </c>
      <c r="P196" s="83">
        <v>0</v>
      </c>
      <c r="Q196" s="83">
        <v>0</v>
      </c>
      <c r="R196" s="83">
        <v>0</v>
      </c>
      <c r="S196" s="83">
        <v>0</v>
      </c>
      <c r="T196" s="83">
        <v>0</v>
      </c>
      <c r="U196" s="83">
        <v>0</v>
      </c>
      <c r="V196" s="83">
        <v>0</v>
      </c>
      <c r="W196" s="83">
        <v>0</v>
      </c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</row>
    <row r="197" spans="1:44" x14ac:dyDescent="0.25">
      <c r="A197" s="41">
        <f t="shared" si="31"/>
        <v>189</v>
      </c>
      <c r="B197" s="83" t="s">
        <v>761</v>
      </c>
      <c r="C197" s="83">
        <v>1982</v>
      </c>
      <c r="D197" s="88">
        <v>19.600000000000001</v>
      </c>
      <c r="E197" s="88">
        <v>50</v>
      </c>
      <c r="F197" s="88">
        <v>74.5</v>
      </c>
      <c r="G197" s="88">
        <v>133.80000000000001</v>
      </c>
      <c r="H197" s="88">
        <v>216.6</v>
      </c>
      <c r="I197" s="88">
        <v>206</v>
      </c>
      <c r="J197" s="88">
        <v>264</v>
      </c>
      <c r="K197" s="88">
        <v>334.9</v>
      </c>
      <c r="L197" s="88">
        <v>431.3</v>
      </c>
      <c r="M197" s="88">
        <v>445.4</v>
      </c>
      <c r="N197" s="83"/>
      <c r="O197" s="83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</row>
    <row r="198" spans="1:44" x14ac:dyDescent="0.25">
      <c r="A198" s="41">
        <f t="shared" si="31"/>
        <v>190</v>
      </c>
      <c r="B198" s="83" t="s">
        <v>762</v>
      </c>
      <c r="C198" s="83">
        <v>1983</v>
      </c>
      <c r="D198" s="83">
        <v>82</v>
      </c>
      <c r="E198" s="83">
        <v>113</v>
      </c>
      <c r="F198" s="83">
        <v>227</v>
      </c>
      <c r="G198" s="83">
        <v>457</v>
      </c>
      <c r="H198" s="88">
        <v>482.51</v>
      </c>
      <c r="I198" s="88">
        <v>468.1</v>
      </c>
      <c r="J198" s="88">
        <v>406.68200000000002</v>
      </c>
      <c r="K198" s="88">
        <v>272.185</v>
      </c>
      <c r="L198" s="88">
        <v>245.08699999999999</v>
      </c>
      <c r="M198" s="88">
        <v>151.376</v>
      </c>
      <c r="N198" s="88">
        <v>189.11199999999999</v>
      </c>
      <c r="O198" s="88">
        <v>174.80600000000001</v>
      </c>
      <c r="P198" s="42">
        <v>191.06700000000001</v>
      </c>
      <c r="Q198" s="42">
        <v>221.71100000000001</v>
      </c>
      <c r="R198" s="42">
        <v>244.57900000000001</v>
      </c>
      <c r="S198" s="42">
        <v>295.23599999999999</v>
      </c>
      <c r="T198" s="42">
        <v>309.548</v>
      </c>
      <c r="U198" s="42">
        <v>276.74299999999999</v>
      </c>
      <c r="V198" s="42">
        <v>304.66000000000003</v>
      </c>
      <c r="W198" s="42">
        <v>211.78299999999999</v>
      </c>
      <c r="X198" s="42">
        <v>172.02699999999999</v>
      </c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</row>
    <row r="199" spans="1:44" x14ac:dyDescent="0.25">
      <c r="A199" s="41">
        <f t="shared" si="31"/>
        <v>191</v>
      </c>
      <c r="B199" s="83" t="s">
        <v>449</v>
      </c>
      <c r="C199" s="83">
        <v>1982</v>
      </c>
      <c r="D199" s="83">
        <v>157</v>
      </c>
      <c r="E199" s="83">
        <v>226</v>
      </c>
      <c r="F199" s="83">
        <v>396</v>
      </c>
      <c r="G199" s="83">
        <v>692</v>
      </c>
      <c r="H199" s="88">
        <v>900</v>
      </c>
      <c r="I199" s="88">
        <v>981</v>
      </c>
      <c r="J199" s="88">
        <v>971</v>
      </c>
      <c r="K199" s="88">
        <v>1150</v>
      </c>
      <c r="L199" s="88" t="s">
        <v>772</v>
      </c>
      <c r="M199" s="88"/>
      <c r="N199" s="88"/>
      <c r="O199" s="88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</row>
    <row r="200" spans="1:44" x14ac:dyDescent="0.25">
      <c r="A200" s="41">
        <f t="shared" si="31"/>
        <v>192</v>
      </c>
      <c r="B200" s="83" t="s">
        <v>42</v>
      </c>
      <c r="C200" s="83">
        <v>2009</v>
      </c>
      <c r="D200" s="83">
        <v>0</v>
      </c>
      <c r="E200" s="83">
        <v>0</v>
      </c>
      <c r="F200" s="83">
        <v>0</v>
      </c>
      <c r="G200" s="83">
        <v>0</v>
      </c>
      <c r="H200" s="83">
        <v>0</v>
      </c>
      <c r="I200" s="83">
        <v>0</v>
      </c>
      <c r="J200" s="83">
        <v>0</v>
      </c>
      <c r="K200" s="83">
        <v>0</v>
      </c>
      <c r="L200" s="83">
        <v>0</v>
      </c>
      <c r="M200" s="83">
        <v>0</v>
      </c>
      <c r="N200" s="83">
        <v>0</v>
      </c>
      <c r="O200" s="83">
        <v>0</v>
      </c>
      <c r="P200" s="42">
        <v>0</v>
      </c>
      <c r="Q200" s="42">
        <v>0</v>
      </c>
      <c r="R200" s="42">
        <v>0</v>
      </c>
      <c r="S200" s="42">
        <v>0</v>
      </c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</row>
    <row r="201" spans="1:44" x14ac:dyDescent="0.25">
      <c r="A201" s="41">
        <f t="shared" si="31"/>
        <v>193</v>
      </c>
      <c r="B201" s="83" t="s">
        <v>157</v>
      </c>
      <c r="C201" s="83">
        <v>1995</v>
      </c>
      <c r="D201" s="83">
        <v>0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1</v>
      </c>
      <c r="L201" s="83">
        <v>2</v>
      </c>
      <c r="M201" s="83">
        <v>5.7</v>
      </c>
      <c r="N201" s="83">
        <v>47.4</v>
      </c>
      <c r="O201" s="83">
        <v>224.7</v>
      </c>
      <c r="P201" s="42">
        <v>431.4</v>
      </c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</row>
    <row r="202" spans="1:44" x14ac:dyDescent="0.25">
      <c r="A202" s="41">
        <f t="shared" si="31"/>
        <v>194</v>
      </c>
      <c r="B202" s="83" t="s">
        <v>881</v>
      </c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</row>
    <row r="203" spans="1:44" x14ac:dyDescent="0.25">
      <c r="A203" s="41">
        <f t="shared" si="31"/>
        <v>195</v>
      </c>
      <c r="B203" s="83" t="s">
        <v>72</v>
      </c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</row>
    <row r="204" spans="1:44" x14ac:dyDescent="0.25">
      <c r="A204" s="41">
        <f t="shared" ref="A204:A206" si="64">+A203+1</f>
        <v>196</v>
      </c>
      <c r="B204" s="83" t="s">
        <v>763</v>
      </c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</row>
    <row r="205" spans="1:44" x14ac:dyDescent="0.25">
      <c r="A205" s="41">
        <f t="shared" si="64"/>
        <v>197</v>
      </c>
      <c r="B205" s="83" t="s">
        <v>764</v>
      </c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</row>
    <row r="206" spans="1:44" x14ac:dyDescent="0.25">
      <c r="A206" s="41">
        <f t="shared" si="64"/>
        <v>198</v>
      </c>
      <c r="B206" s="83" t="s">
        <v>510</v>
      </c>
      <c r="C206" s="83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</row>
    <row r="207" spans="1:44" x14ac:dyDescent="0.25"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</row>
    <row r="208" spans="1:44" x14ac:dyDescent="0.25"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</row>
    <row r="209" spans="1:46" x14ac:dyDescent="0.25">
      <c r="AP209" s="42"/>
      <c r="AQ209" s="42"/>
      <c r="AR209" s="42"/>
    </row>
    <row r="210" spans="1:46" x14ac:dyDescent="0.25">
      <c r="AP210" s="42"/>
      <c r="AQ210" s="42"/>
      <c r="AR210" s="42"/>
    </row>
    <row r="211" spans="1:46" x14ac:dyDescent="0.25">
      <c r="AP211" s="42"/>
      <c r="AQ211" s="42"/>
      <c r="AR211" s="42"/>
    </row>
    <row r="212" spans="1:46" x14ac:dyDescent="0.25">
      <c r="A212" s="41">
        <f>+A10+1</f>
        <v>3</v>
      </c>
      <c r="B212" s="83" t="s">
        <v>275</v>
      </c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42"/>
      <c r="Q212" s="42"/>
      <c r="R212" s="42"/>
      <c r="S212" s="42"/>
      <c r="T212" s="42"/>
      <c r="U212" s="42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  <c r="AE212" s="42">
        <v>220</v>
      </c>
      <c r="AF212" s="42">
        <f>+AG212/2</f>
        <v>1850</v>
      </c>
      <c r="AG212" s="42">
        <f>+AH212/2</f>
        <v>3700</v>
      </c>
      <c r="AH212" s="42">
        <v>7400</v>
      </c>
      <c r="AI212" s="42">
        <v>17000</v>
      </c>
      <c r="AJ212" s="42">
        <v>34300</v>
      </c>
      <c r="AK212" s="42">
        <v>80000</v>
      </c>
      <c r="AL212" s="42">
        <v>85000</v>
      </c>
      <c r="AM212" s="42">
        <v>112000</v>
      </c>
      <c r="AN212" s="42">
        <v>155000</v>
      </c>
      <c r="AO212" s="42">
        <v>186000</v>
      </c>
      <c r="AP212" s="42">
        <f>+AO212</f>
        <v>186000</v>
      </c>
      <c r="AQ212" s="42">
        <f t="shared" ref="AQ212:AT212" si="65">+AP212</f>
        <v>186000</v>
      </c>
      <c r="AR212" s="42">
        <f t="shared" si="65"/>
        <v>186000</v>
      </c>
      <c r="AS212" s="42">
        <f t="shared" si="65"/>
        <v>186000</v>
      </c>
      <c r="AT212" s="42">
        <f t="shared" si="65"/>
        <v>186000</v>
      </c>
    </row>
    <row r="213" spans="1:46" x14ac:dyDescent="0.25">
      <c r="A213" s="41">
        <f>+A212+1</f>
        <v>4</v>
      </c>
      <c r="B213" s="41" t="s">
        <v>13</v>
      </c>
      <c r="P213" s="42"/>
      <c r="Q213" s="42"/>
      <c r="R213" s="42"/>
      <c r="S213" s="42"/>
      <c r="T213" s="42"/>
      <c r="U213" s="42">
        <v>9</v>
      </c>
      <c r="V213" s="42">
        <v>48</v>
      </c>
      <c r="W213" s="42">
        <v>153</v>
      </c>
      <c r="X213" s="42">
        <v>272</v>
      </c>
      <c r="Y213" s="42">
        <v>777</v>
      </c>
      <c r="Z213" s="42">
        <v>1974</v>
      </c>
      <c r="AA213" s="42">
        <v>3711</v>
      </c>
      <c r="AB213" s="42">
        <v>5089</v>
      </c>
      <c r="AC213" s="42">
        <v>7872</v>
      </c>
      <c r="AD213" s="42">
        <v>12466</v>
      </c>
      <c r="AE213" s="42">
        <v>17928</v>
      </c>
      <c r="AF213" s="42">
        <v>27638</v>
      </c>
      <c r="AG213" s="42">
        <v>40653</v>
      </c>
      <c r="AH213" s="42">
        <v>55838</v>
      </c>
      <c r="AI213" s="42">
        <v>70697</v>
      </c>
      <c r="AJ213" s="42">
        <v>85965</v>
      </c>
      <c r="AK213" s="42">
        <v>117929</v>
      </c>
      <c r="AL213" s="42">
        <v>116609</v>
      </c>
      <c r="AM213" s="42">
        <v>134902</v>
      </c>
      <c r="AN213" s="42">
        <v>164501</v>
      </c>
      <c r="AO213" s="42">
        <v>178805</v>
      </c>
      <c r="AP213" s="42">
        <f t="shared" ref="AP213:AT213" si="66">+AO213</f>
        <v>178805</v>
      </c>
      <c r="AQ213" s="42">
        <f t="shared" si="66"/>
        <v>178805</v>
      </c>
      <c r="AR213" s="42">
        <f t="shared" si="66"/>
        <v>178805</v>
      </c>
      <c r="AS213" s="42">
        <f t="shared" si="66"/>
        <v>178805</v>
      </c>
      <c r="AT213" s="42">
        <f t="shared" si="66"/>
        <v>178805</v>
      </c>
    </row>
    <row r="214" spans="1:46" x14ac:dyDescent="0.25">
      <c r="A214" s="41">
        <f>+A213+1</f>
        <v>5</v>
      </c>
      <c r="B214" s="41" t="s">
        <v>401</v>
      </c>
      <c r="P214" s="42"/>
      <c r="Q214" s="42"/>
      <c r="R214" s="42"/>
      <c r="S214" s="42"/>
      <c r="T214" s="42"/>
      <c r="U214" s="42">
        <v>0</v>
      </c>
      <c r="V214" s="42">
        <f t="shared" ref="V214:X214" si="67">+W214/1.5</f>
        <v>182.31367169638773</v>
      </c>
      <c r="W214" s="42">
        <f t="shared" si="67"/>
        <v>273.47050754458161</v>
      </c>
      <c r="X214" s="42">
        <f t="shared" si="67"/>
        <v>410.20576131687244</v>
      </c>
      <c r="Y214" s="42">
        <f t="shared" ref="Y214:AA214" si="68">+Z214/1.5</f>
        <v>615.30864197530866</v>
      </c>
      <c r="Z214" s="42">
        <f t="shared" si="68"/>
        <v>922.96296296296293</v>
      </c>
      <c r="AA214" s="42">
        <f t="shared" si="68"/>
        <v>1384.4444444444443</v>
      </c>
      <c r="AB214" s="42">
        <f>+AC214/1.5</f>
        <v>2076.6666666666665</v>
      </c>
      <c r="AC214" s="42">
        <v>3115</v>
      </c>
      <c r="AD214" s="42">
        <v>4644</v>
      </c>
      <c r="AE214" s="42">
        <v>7880</v>
      </c>
      <c r="AF214" s="42">
        <v>12219</v>
      </c>
      <c r="AG214" s="42">
        <v>17459</v>
      </c>
      <c r="AH214" s="42">
        <v>25655</v>
      </c>
      <c r="AI214" s="42">
        <v>35026</v>
      </c>
      <c r="AJ214" s="42">
        <v>45370</v>
      </c>
      <c r="AK214" s="42">
        <v>62202</v>
      </c>
      <c r="AL214" s="42">
        <v>80096</v>
      </c>
      <c r="AM214" s="42">
        <v>90760</v>
      </c>
      <c r="AN214" s="42">
        <v>107500</v>
      </c>
      <c r="AO214" s="42">
        <f>+AN214*1.1</f>
        <v>118250.00000000001</v>
      </c>
      <c r="AP214" s="42">
        <f t="shared" ref="AP214:AT214" si="69">+AO214</f>
        <v>118250.00000000001</v>
      </c>
      <c r="AQ214" s="42">
        <f t="shared" si="69"/>
        <v>118250.00000000001</v>
      </c>
      <c r="AR214" s="42">
        <f t="shared" si="69"/>
        <v>118250.00000000001</v>
      </c>
      <c r="AS214" s="42">
        <f t="shared" si="69"/>
        <v>118250.00000000001</v>
      </c>
      <c r="AT214" s="42">
        <f t="shared" si="69"/>
        <v>118250.00000000001</v>
      </c>
    </row>
    <row r="215" spans="1:46" x14ac:dyDescent="0.25">
      <c r="B215" s="83" t="s">
        <v>884</v>
      </c>
      <c r="AH215" s="42"/>
      <c r="AI215" s="42">
        <v>5000</v>
      </c>
      <c r="AJ215" s="42">
        <v>17000</v>
      </c>
      <c r="AK215" s="42">
        <v>50000</v>
      </c>
      <c r="AL215" s="42">
        <v>44000</v>
      </c>
      <c r="AM215" s="42">
        <v>68000</v>
      </c>
      <c r="AN215" s="42">
        <v>75000</v>
      </c>
      <c r="AO215" s="42">
        <f>+AN215*1.1</f>
        <v>82500</v>
      </c>
      <c r="AP215" s="42">
        <f t="shared" ref="AP215:AT215" si="70">+AO215</f>
        <v>82500</v>
      </c>
      <c r="AQ215" s="42">
        <f t="shared" si="70"/>
        <v>82500</v>
      </c>
      <c r="AR215" s="42">
        <f t="shared" si="70"/>
        <v>82500</v>
      </c>
      <c r="AS215" s="42">
        <f t="shared" si="70"/>
        <v>82500</v>
      </c>
      <c r="AT215" s="42">
        <f t="shared" si="70"/>
        <v>82500</v>
      </c>
    </row>
    <row r="216" spans="1:46" x14ac:dyDescent="0.25">
      <c r="B216" s="83" t="s">
        <v>885</v>
      </c>
      <c r="AH216" s="42"/>
      <c r="AI216" s="42"/>
      <c r="AJ216" s="42"/>
      <c r="AK216" s="42">
        <f>28800+19900</f>
        <v>48700</v>
      </c>
      <c r="AL216" s="42">
        <f>29000+26000</f>
        <v>55000</v>
      </c>
      <c r="AM216" s="42">
        <f>31000+33000</f>
        <v>64000</v>
      </c>
      <c r="AN216" s="42">
        <f>36000+43000</f>
        <v>79000</v>
      </c>
      <c r="AO216" s="42">
        <f>+AN216*1.1</f>
        <v>86900</v>
      </c>
      <c r="AP216" s="42">
        <f t="shared" ref="AP216:AT216" si="71">+AO216</f>
        <v>86900</v>
      </c>
      <c r="AQ216" s="42">
        <f t="shared" si="71"/>
        <v>86900</v>
      </c>
      <c r="AR216" s="42">
        <f t="shared" si="71"/>
        <v>86900</v>
      </c>
      <c r="AS216" s="42">
        <f t="shared" si="71"/>
        <v>86900</v>
      </c>
      <c r="AT216" s="42">
        <f t="shared" si="71"/>
        <v>86900</v>
      </c>
    </row>
    <row r="217" spans="1:46" x14ac:dyDescent="0.25">
      <c r="AP217" s="42"/>
      <c r="AQ217" s="42"/>
      <c r="AR217" s="42"/>
    </row>
    <row r="218" spans="1:46" x14ac:dyDescent="0.25">
      <c r="AP218" s="42"/>
      <c r="AQ218" s="42"/>
      <c r="AR218" s="42"/>
    </row>
    <row r="219" spans="1:46" x14ac:dyDescent="0.25">
      <c r="AP219" s="42"/>
      <c r="AQ219" s="42"/>
      <c r="AR219" s="42"/>
    </row>
    <row r="220" spans="1:46" x14ac:dyDescent="0.25">
      <c r="AP220" s="42"/>
      <c r="AQ220" s="42"/>
      <c r="AR220" s="42"/>
    </row>
    <row r="221" spans="1:46" x14ac:dyDescent="0.25">
      <c r="AP221" s="42"/>
      <c r="AQ221" s="42"/>
      <c r="AR221" s="42"/>
    </row>
    <row r="222" spans="1:46" x14ac:dyDescent="0.25">
      <c r="AP222" s="42"/>
      <c r="AQ222" s="42"/>
      <c r="AR222" s="42"/>
    </row>
    <row r="223" spans="1:46" x14ac:dyDescent="0.25">
      <c r="AP223" s="42"/>
      <c r="AQ223" s="42"/>
      <c r="AR223" s="42"/>
    </row>
    <row r="224" spans="1:46" x14ac:dyDescent="0.25">
      <c r="AP224" s="42"/>
      <c r="AQ224" s="42"/>
      <c r="AR224" s="42"/>
    </row>
    <row r="225" spans="42:44" x14ac:dyDescent="0.25">
      <c r="AP225" s="42"/>
      <c r="AQ225" s="42"/>
      <c r="AR225" s="42"/>
    </row>
    <row r="226" spans="42:44" x14ac:dyDescent="0.25">
      <c r="AP226" s="42"/>
      <c r="AQ226" s="42"/>
      <c r="AR226" s="42"/>
    </row>
    <row r="227" spans="42:44" x14ac:dyDescent="0.25">
      <c r="AP227" s="42"/>
      <c r="AQ227" s="42"/>
      <c r="AR227" s="42"/>
    </row>
    <row r="228" spans="42:44" x14ac:dyDescent="0.25">
      <c r="AP228" s="42"/>
      <c r="AQ228" s="42"/>
      <c r="AR228" s="42"/>
    </row>
    <row r="229" spans="42:44" x14ac:dyDescent="0.25">
      <c r="AP229" s="42"/>
      <c r="AQ229" s="42"/>
      <c r="AR229" s="42"/>
    </row>
    <row r="230" spans="42:44" x14ac:dyDescent="0.25">
      <c r="AP230" s="42"/>
      <c r="AQ230" s="42"/>
      <c r="AR230" s="42"/>
    </row>
    <row r="231" spans="42:44" x14ac:dyDescent="0.25">
      <c r="AP231" s="42"/>
      <c r="AQ231" s="42"/>
      <c r="AR231" s="42"/>
    </row>
    <row r="232" spans="42:44" x14ac:dyDescent="0.25">
      <c r="AP232" s="42"/>
      <c r="AQ232" s="42"/>
      <c r="AR232" s="42"/>
    </row>
    <row r="233" spans="42:44" x14ac:dyDescent="0.25">
      <c r="AP233" s="42"/>
      <c r="AQ233" s="42"/>
      <c r="AR233" s="42"/>
    </row>
    <row r="234" spans="42:44" x14ac:dyDescent="0.25">
      <c r="AP234" s="42"/>
      <c r="AQ234" s="42"/>
      <c r="AR234" s="42"/>
    </row>
    <row r="235" spans="42:44" x14ac:dyDescent="0.25">
      <c r="AP235" s="42"/>
      <c r="AQ235" s="42"/>
      <c r="AR235" s="42"/>
    </row>
    <row r="236" spans="42:44" x14ac:dyDescent="0.25">
      <c r="AP236" s="42"/>
      <c r="AQ236" s="42"/>
      <c r="AR236" s="42"/>
    </row>
    <row r="237" spans="42:44" x14ac:dyDescent="0.25">
      <c r="AP237" s="42"/>
      <c r="AQ237" s="42"/>
      <c r="AR237" s="42"/>
    </row>
    <row r="238" spans="42:44" x14ac:dyDescent="0.25">
      <c r="AP238" s="42"/>
      <c r="AQ238" s="42"/>
      <c r="AR238" s="42"/>
    </row>
    <row r="239" spans="42:44" x14ac:dyDescent="0.25">
      <c r="AP239" s="42"/>
      <c r="AQ239" s="42"/>
      <c r="AR239" s="42"/>
    </row>
    <row r="240" spans="42:44" x14ac:dyDescent="0.25">
      <c r="AP240" s="42"/>
      <c r="AQ240" s="42"/>
      <c r="AR240" s="42"/>
    </row>
    <row r="241" spans="42:44" x14ac:dyDescent="0.25">
      <c r="AP241" s="42"/>
      <c r="AQ241" s="42"/>
      <c r="AR241" s="42"/>
    </row>
    <row r="242" spans="42:44" x14ac:dyDescent="0.25">
      <c r="AP242" s="42"/>
      <c r="AQ242" s="42"/>
      <c r="AR242" s="42"/>
    </row>
    <row r="243" spans="42:44" x14ac:dyDescent="0.25">
      <c r="AP243" s="42"/>
      <c r="AQ243" s="42"/>
      <c r="AR243" s="42"/>
    </row>
    <row r="244" spans="42:44" x14ac:dyDescent="0.25">
      <c r="AP244" s="42"/>
      <c r="AQ244" s="42"/>
      <c r="AR244" s="42"/>
    </row>
    <row r="245" spans="42:44" x14ac:dyDescent="0.25">
      <c r="AP245" s="42"/>
      <c r="AQ245" s="42"/>
      <c r="AR245" s="42"/>
    </row>
    <row r="246" spans="42:44" x14ac:dyDescent="0.25">
      <c r="AP246" s="42"/>
      <c r="AQ246" s="42"/>
      <c r="AR246" s="42"/>
    </row>
    <row r="247" spans="42:44" x14ac:dyDescent="0.25">
      <c r="AP247" s="42"/>
      <c r="AQ247" s="42"/>
      <c r="AR247" s="42"/>
    </row>
    <row r="248" spans="42:44" x14ac:dyDescent="0.25">
      <c r="AP248" s="42"/>
      <c r="AQ248" s="42"/>
      <c r="AR248" s="42"/>
    </row>
    <row r="249" spans="42:44" x14ac:dyDescent="0.25">
      <c r="AP249" s="42"/>
      <c r="AQ249" s="42"/>
      <c r="AR249" s="42"/>
    </row>
    <row r="250" spans="42:44" x14ac:dyDescent="0.25">
      <c r="AP250" s="42"/>
      <c r="AQ250" s="42"/>
      <c r="AR250" s="42"/>
    </row>
    <row r="251" spans="42:44" x14ac:dyDescent="0.25">
      <c r="AP251" s="42"/>
      <c r="AQ251" s="42"/>
      <c r="AR251" s="42"/>
    </row>
    <row r="252" spans="42:44" x14ac:dyDescent="0.25">
      <c r="AP252" s="42"/>
      <c r="AQ252" s="42"/>
      <c r="AR252" s="42"/>
    </row>
    <row r="253" spans="42:44" x14ac:dyDescent="0.25">
      <c r="AP253" s="42"/>
      <c r="AQ253" s="42"/>
      <c r="AR253" s="42"/>
    </row>
    <row r="254" spans="42:44" x14ac:dyDescent="0.25">
      <c r="AP254" s="42"/>
      <c r="AQ254" s="42"/>
      <c r="AR254" s="42"/>
    </row>
    <row r="255" spans="42:44" x14ac:dyDescent="0.25">
      <c r="AP255" s="42"/>
      <c r="AQ255" s="42"/>
      <c r="AR255" s="42"/>
    </row>
    <row r="256" spans="42:44" x14ac:dyDescent="0.25">
      <c r="AP256" s="42"/>
      <c r="AQ256" s="42"/>
      <c r="AR256" s="42"/>
    </row>
    <row r="257" spans="42:44" x14ac:dyDescent="0.25">
      <c r="AP257" s="42"/>
      <c r="AQ257" s="42"/>
      <c r="AR257" s="42"/>
    </row>
    <row r="258" spans="42:44" x14ac:dyDescent="0.25">
      <c r="AP258" s="42"/>
      <c r="AQ258" s="42"/>
      <c r="AR258" s="42"/>
    </row>
    <row r="259" spans="42:44" x14ac:dyDescent="0.25">
      <c r="AP259" s="42"/>
      <c r="AQ259" s="42"/>
      <c r="AR259" s="42"/>
    </row>
    <row r="260" spans="42:44" x14ac:dyDescent="0.25">
      <c r="AP260" s="42"/>
      <c r="AQ260" s="42"/>
      <c r="AR260" s="42"/>
    </row>
    <row r="261" spans="42:44" x14ac:dyDescent="0.25">
      <c r="AP261" s="42"/>
      <c r="AQ261" s="42"/>
      <c r="AR261" s="42"/>
    </row>
  </sheetData>
  <hyperlinks>
    <hyperlink ref="A1" location="Main!A1" display="Main" xr:uid="{04070A17-ACBF-4452-AFD7-3FBDA4940F36}"/>
  </hyperlink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91D0-A718-45C3-9EF2-C01D7940E5D3}">
  <dimension ref="A1:C15"/>
  <sheetViews>
    <sheetView zoomScale="175" zoomScaleNormal="175" workbookViewId="0"/>
  </sheetViews>
  <sheetFormatPr defaultColWidth="9.1796875" defaultRowHeight="12.5" x14ac:dyDescent="0.25"/>
  <cols>
    <col min="1" max="1" width="5" style="33" bestFit="1" customWidth="1"/>
    <col min="2" max="2" width="10.453125" style="33" customWidth="1"/>
    <col min="3" max="16384" width="9.1796875" style="33"/>
  </cols>
  <sheetData>
    <row r="1" spans="1:3" x14ac:dyDescent="0.25">
      <c r="A1" s="4" t="s">
        <v>142</v>
      </c>
    </row>
    <row r="2" spans="1:3" x14ac:dyDescent="0.25">
      <c r="A2" s="4"/>
      <c r="B2" s="43" t="s">
        <v>410</v>
      </c>
    </row>
    <row r="3" spans="1:3" x14ac:dyDescent="0.25">
      <c r="A3" s="4"/>
      <c r="B3" s="43" t="s">
        <v>406</v>
      </c>
    </row>
    <row r="4" spans="1:3" x14ac:dyDescent="0.25">
      <c r="A4" s="4"/>
      <c r="B4" s="43" t="s">
        <v>409</v>
      </c>
    </row>
    <row r="5" spans="1:3" x14ac:dyDescent="0.25">
      <c r="A5" s="4"/>
      <c r="B5" s="43" t="s">
        <v>407</v>
      </c>
    </row>
    <row r="6" spans="1:3" x14ac:dyDescent="0.25">
      <c r="A6" s="4"/>
      <c r="B6" s="43" t="s">
        <v>411</v>
      </c>
    </row>
    <row r="7" spans="1:3" x14ac:dyDescent="0.25">
      <c r="A7" s="4"/>
      <c r="B7" s="43" t="s">
        <v>408</v>
      </c>
    </row>
    <row r="8" spans="1:3" x14ac:dyDescent="0.25">
      <c r="A8" s="4"/>
      <c r="B8" s="43"/>
    </row>
    <row r="9" spans="1:3" x14ac:dyDescent="0.25">
      <c r="A9" s="4"/>
      <c r="B9" s="43"/>
    </row>
    <row r="10" spans="1:3" x14ac:dyDescent="0.25">
      <c r="A10" s="4"/>
      <c r="B10" s="33" t="s">
        <v>345</v>
      </c>
    </row>
    <row r="11" spans="1:3" x14ac:dyDescent="0.25">
      <c r="B11" s="33" t="s">
        <v>341</v>
      </c>
    </row>
    <row r="12" spans="1:3" x14ac:dyDescent="0.25">
      <c r="B12" s="33" t="s">
        <v>342</v>
      </c>
      <c r="C12" s="33" t="s">
        <v>343</v>
      </c>
    </row>
    <row r="13" spans="1:3" x14ac:dyDescent="0.25">
      <c r="B13" s="33" t="s">
        <v>344</v>
      </c>
    </row>
    <row r="14" spans="1:3" x14ac:dyDescent="0.25">
      <c r="B14" s="41" t="s">
        <v>403</v>
      </c>
      <c r="C14" s="41" t="s">
        <v>404</v>
      </c>
    </row>
    <row r="15" spans="1:3" x14ac:dyDescent="0.25">
      <c r="B15" s="41" t="s">
        <v>405</v>
      </c>
    </row>
  </sheetData>
  <hyperlinks>
    <hyperlink ref="A1" location="Main!A1" display="Main" xr:uid="{33E3E6A7-4E0D-4E42-A768-3040828B041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65A7-531A-484D-A1B8-5616406C41D1}">
  <dimension ref="A2:AJ49"/>
  <sheetViews>
    <sheetView tabSelected="1" zoomScale="145" zoomScaleNormal="145" zoomScaleSheetLayoutView="100" workbookViewId="0">
      <pane xSplit="3" ySplit="4" topLeftCell="D5" activePane="bottomRight" state="frozen"/>
      <selection pane="topRight" activeCell="D1" sqref="D1"/>
      <selection pane="bottomLeft" activeCell="A30" sqref="A30"/>
      <selection pane="bottomRight" activeCell="A9" sqref="A9"/>
    </sheetView>
  </sheetViews>
  <sheetFormatPr defaultColWidth="8.453125" defaultRowHeight="14.5" x14ac:dyDescent="0.35"/>
  <cols>
    <col min="1" max="1" width="4.81640625" customWidth="1"/>
    <col min="2" max="2" width="16.453125" style="59" customWidth="1"/>
    <col min="3" max="3" width="10.7265625" style="59" customWidth="1"/>
    <col min="4" max="4" width="8.7265625" style="60" customWidth="1"/>
    <col min="5" max="5" width="10.26953125" style="61" customWidth="1"/>
    <col min="6" max="9" width="9.453125" style="58" customWidth="1"/>
    <col min="10" max="10" width="10.453125" style="58" customWidth="1"/>
    <col min="11" max="15" width="8.453125" style="62"/>
    <col min="16" max="16" width="8.453125" style="63"/>
    <col min="17" max="20" width="8.453125" style="62"/>
    <col min="21" max="21" width="8.453125" style="64"/>
    <col min="22" max="22" width="8.453125" style="63"/>
    <col min="23" max="27" width="8.453125" style="62"/>
    <col min="28" max="28" width="8.453125" style="64"/>
    <col min="29" max="32" width="8.453125" style="59"/>
    <col min="33" max="33" width="8.453125" style="58"/>
    <col min="34" max="35" width="8.453125" style="59"/>
    <col min="36" max="36" width="9.90625" style="59" bestFit="1" customWidth="1"/>
    <col min="37" max="16384" width="8.453125" style="59"/>
  </cols>
  <sheetData>
    <row r="2" spans="1:36" ht="12.5" x14ac:dyDescent="0.25">
      <c r="A2" s="83"/>
      <c r="B2" s="83" t="s">
        <v>703</v>
      </c>
      <c r="C2" s="83"/>
      <c r="D2" s="101"/>
      <c r="E2" s="102"/>
      <c r="F2" s="84"/>
      <c r="G2" s="84"/>
      <c r="H2" s="84"/>
      <c r="I2" s="84"/>
      <c r="J2" s="84"/>
      <c r="K2" s="103"/>
      <c r="L2" s="103"/>
      <c r="M2" s="103"/>
      <c r="N2" s="103"/>
      <c r="O2" s="103"/>
      <c r="P2" s="104"/>
      <c r="Q2" s="103"/>
      <c r="R2" s="103"/>
      <c r="S2" s="103"/>
      <c r="T2" s="103"/>
      <c r="U2" s="105"/>
      <c r="V2" s="104"/>
      <c r="W2" s="103"/>
      <c r="X2" s="103"/>
      <c r="Y2" s="103"/>
      <c r="Z2" s="103"/>
      <c r="AA2" s="103"/>
      <c r="AB2" s="105"/>
      <c r="AC2" s="83"/>
      <c r="AD2" s="83"/>
    </row>
    <row r="3" spans="1:36" ht="13" x14ac:dyDescent="0.3">
      <c r="A3" s="83"/>
      <c r="B3" s="83" t="s">
        <v>894</v>
      </c>
      <c r="C3" s="83"/>
      <c r="D3" s="106">
        <v>7244</v>
      </c>
      <c r="E3" s="102"/>
      <c r="F3" s="84"/>
      <c r="G3" s="84"/>
      <c r="H3" s="84"/>
      <c r="I3" s="84"/>
      <c r="J3" s="84"/>
      <c r="K3" s="103"/>
      <c r="L3" s="107"/>
      <c r="M3" s="103"/>
      <c r="N3" s="103"/>
      <c r="O3" s="103"/>
      <c r="P3" s="108" t="e">
        <f t="shared" ref="P3:U3" si="0">AVERAGE(P6:P6)</f>
        <v>#DIV/0!</v>
      </c>
      <c r="Q3" s="109">
        <f t="shared" si="0"/>
        <v>41.980404509099792</v>
      </c>
      <c r="R3" s="109">
        <f t="shared" si="0"/>
        <v>34.438162343058131</v>
      </c>
      <c r="S3" s="110">
        <f t="shared" si="0"/>
        <v>29.792545135490172</v>
      </c>
      <c r="T3" s="99">
        <f t="shared" si="0"/>
        <v>24.377343470191118</v>
      </c>
      <c r="U3" s="100">
        <f t="shared" si="0"/>
        <v>21.121118276927547</v>
      </c>
      <c r="V3" s="104"/>
      <c r="W3" s="103"/>
      <c r="X3" s="103"/>
      <c r="Y3" s="103"/>
      <c r="Z3" s="103"/>
      <c r="AA3" s="103"/>
      <c r="AB3" s="105"/>
      <c r="AC3" s="83"/>
      <c r="AD3" s="83"/>
      <c r="AG3" s="97">
        <f>+D3/AJ3-1</f>
        <v>5.8213424877656905E-2</v>
      </c>
      <c r="AJ3" s="98">
        <v>6845.5</v>
      </c>
    </row>
    <row r="4" spans="1:36" ht="12.5" x14ac:dyDescent="0.25">
      <c r="A4" s="83"/>
      <c r="B4" s="111" t="s">
        <v>0</v>
      </c>
      <c r="C4" s="112" t="s">
        <v>1</v>
      </c>
      <c r="D4" s="113" t="s">
        <v>2</v>
      </c>
      <c r="E4" s="114" t="s">
        <v>3</v>
      </c>
      <c r="F4" s="115" t="s">
        <v>4</v>
      </c>
      <c r="G4" s="115" t="s">
        <v>5</v>
      </c>
      <c r="H4" s="115" t="s">
        <v>211</v>
      </c>
      <c r="I4" s="115" t="s">
        <v>6</v>
      </c>
      <c r="J4" s="115" t="s">
        <v>222</v>
      </c>
      <c r="K4" s="116" t="s">
        <v>206</v>
      </c>
      <c r="L4" s="116" t="s">
        <v>210</v>
      </c>
      <c r="M4" s="116" t="s">
        <v>207</v>
      </c>
      <c r="N4" s="116" t="s">
        <v>208</v>
      </c>
      <c r="O4" s="117" t="s">
        <v>209</v>
      </c>
      <c r="P4" s="118" t="s">
        <v>227</v>
      </c>
      <c r="Q4" s="119" t="s">
        <v>228</v>
      </c>
      <c r="R4" s="119" t="s">
        <v>229</v>
      </c>
      <c r="S4" s="116">
        <v>2025</v>
      </c>
      <c r="T4" s="116">
        <v>2026</v>
      </c>
      <c r="U4" s="117">
        <v>2027</v>
      </c>
      <c r="V4" s="118" t="s">
        <v>226</v>
      </c>
      <c r="W4" s="116">
        <v>2023</v>
      </c>
      <c r="X4" s="116">
        <v>2024</v>
      </c>
      <c r="Y4" s="116">
        <v>2025</v>
      </c>
      <c r="Z4" s="116">
        <v>2026</v>
      </c>
      <c r="AA4" s="116">
        <v>2027</v>
      </c>
      <c r="AB4" s="120">
        <v>2028</v>
      </c>
      <c r="AC4" s="83" t="s">
        <v>212</v>
      </c>
      <c r="AD4" s="84" t="s">
        <v>666</v>
      </c>
      <c r="AG4" s="84" t="s">
        <v>893</v>
      </c>
      <c r="AJ4" s="96">
        <v>46022</v>
      </c>
    </row>
    <row r="5" spans="1:36" ht="12.5" x14ac:dyDescent="0.25">
      <c r="A5" s="83" t="s">
        <v>251</v>
      </c>
      <c r="B5" s="30" t="s">
        <v>9</v>
      </c>
      <c r="C5" s="83" t="s">
        <v>10</v>
      </c>
      <c r="D5" s="101">
        <v>384</v>
      </c>
      <c r="E5" s="102">
        <f>D5*[27]Main!$L$3</f>
        <v>4685952</v>
      </c>
      <c r="F5" s="102">
        <f>[27]Main!$L$5-[27]Main!$L$6</f>
        <v>140689</v>
      </c>
      <c r="G5" s="102">
        <f>+E5-F5</f>
        <v>4545263</v>
      </c>
      <c r="H5" s="102">
        <f>[27]Main!$L$3</f>
        <v>12203</v>
      </c>
      <c r="I5" s="84" t="s">
        <v>738</v>
      </c>
      <c r="J5" s="86">
        <v>45853</v>
      </c>
      <c r="K5" s="121">
        <f>+[27]Model!$BM$40</f>
        <v>291.05683018228456</v>
      </c>
      <c r="L5" s="107">
        <f>+K5/D5-1</f>
        <v>-0.242039504733634</v>
      </c>
      <c r="M5" s="107">
        <f>[27]Model!$BM$35</f>
        <v>0.08</v>
      </c>
      <c r="N5" s="107">
        <f>[27]Model!$BM$34</f>
        <v>0.02</v>
      </c>
      <c r="O5" s="122">
        <f>[27]Model!$BM$36</f>
        <v>0.03</v>
      </c>
      <c r="P5" s="108">
        <f t="shared" ref="P5:U5" si="1">+$G$5/$H$5/V5</f>
        <v>81.325598166230307</v>
      </c>
      <c r="Q5" s="110">
        <f t="shared" si="1"/>
        <v>63.930024731966718</v>
      </c>
      <c r="R5" s="110">
        <f t="shared" si="1"/>
        <v>46.327232558016284</v>
      </c>
      <c r="S5" s="110">
        <f t="shared" si="1"/>
        <v>34.456147064426538</v>
      </c>
      <c r="T5" s="110">
        <f t="shared" si="1"/>
        <v>27.65188936647742</v>
      </c>
      <c r="U5" s="123">
        <f t="shared" si="1"/>
        <v>26.156667820677729</v>
      </c>
      <c r="V5" s="124">
        <f>[27]Model!$AW$29</f>
        <v>4.5799964361174039</v>
      </c>
      <c r="W5" s="121">
        <f>[27]Model!$AX$29</f>
        <v>5.8262287763546796</v>
      </c>
      <c r="X5" s="121">
        <v>8.0399999999999991</v>
      </c>
      <c r="Y5" s="121">
        <v>10.81</v>
      </c>
      <c r="Z5" s="121">
        <v>13.47</v>
      </c>
      <c r="AA5" s="121">
        <v>14.24</v>
      </c>
      <c r="AB5" s="125"/>
      <c r="AC5" s="83">
        <v>1998</v>
      </c>
      <c r="AD5" s="83">
        <f>2025-AC5</f>
        <v>27</v>
      </c>
      <c r="AG5" s="97">
        <f>+D5/AJ5-1</f>
        <v>0.22370936902485661</v>
      </c>
      <c r="AJ5" s="98">
        <v>313.8</v>
      </c>
    </row>
    <row r="6" spans="1:36" ht="12.5" x14ac:dyDescent="0.25">
      <c r="A6" s="83" t="s">
        <v>251</v>
      </c>
      <c r="B6" s="30" t="s">
        <v>7</v>
      </c>
      <c r="C6" s="83" t="s">
        <v>8</v>
      </c>
      <c r="D6" s="101">
        <v>416</v>
      </c>
      <c r="E6" s="102">
        <f>D6*[28]Main!$L$3</f>
        <v>3097120</v>
      </c>
      <c r="F6" s="102">
        <f>[28]Main!$L$5-[28]Main!$L$6</f>
        <v>71693</v>
      </c>
      <c r="G6" s="102">
        <f>+E6-F6</f>
        <v>3025427</v>
      </c>
      <c r="H6" s="102">
        <f>+[28]Main!$L$3</f>
        <v>7445</v>
      </c>
      <c r="I6" s="86" t="s">
        <v>895</v>
      </c>
      <c r="J6" s="86">
        <v>46147</v>
      </c>
      <c r="K6" s="121"/>
      <c r="L6" s="107"/>
      <c r="M6" s="107">
        <f>+[28]Model!$BX$50</f>
        <v>0.14932156232406713</v>
      </c>
      <c r="N6" s="107">
        <f>+[28]Model!$BX$49</f>
        <v>0</v>
      </c>
      <c r="O6" s="122">
        <f>+[28]Model!$BX$51</f>
        <v>0</v>
      </c>
      <c r="P6" s="108"/>
      <c r="Q6" s="110">
        <f t="shared" ref="Q6:U6" si="2">+$G$6/$H$6/W6</f>
        <v>41.980404509099792</v>
      </c>
      <c r="R6" s="110">
        <f t="shared" si="2"/>
        <v>34.438162343058131</v>
      </c>
      <c r="S6" s="110">
        <f t="shared" si="2"/>
        <v>29.792545135490172</v>
      </c>
      <c r="T6" s="110">
        <f t="shared" si="2"/>
        <v>24.377343470191118</v>
      </c>
      <c r="U6" s="123">
        <f t="shared" si="2"/>
        <v>21.121118276927547</v>
      </c>
      <c r="V6" s="124"/>
      <c r="W6" s="121">
        <v>9.68</v>
      </c>
      <c r="X6" s="121">
        <v>11.8</v>
      </c>
      <c r="Y6" s="121">
        <v>13.64</v>
      </c>
      <c r="Z6" s="121">
        <v>16.670000000000002</v>
      </c>
      <c r="AA6" s="121">
        <v>19.239999999999998</v>
      </c>
      <c r="AB6" s="125"/>
      <c r="AC6" s="83">
        <v>1975</v>
      </c>
      <c r="AD6" s="83">
        <f t="shared" ref="AD6" si="3">2025-AC6</f>
        <v>50</v>
      </c>
      <c r="AG6" s="97">
        <f>+D6/AJ6-1</f>
        <v>-0.13982052024316616</v>
      </c>
      <c r="AJ6" s="59">
        <v>483.62</v>
      </c>
    </row>
    <row r="7" spans="1:36" ht="12.5" x14ac:dyDescent="0.25">
      <c r="A7" s="83" t="s">
        <v>251</v>
      </c>
      <c r="B7" s="30" t="s">
        <v>72</v>
      </c>
      <c r="C7" s="83" t="s">
        <v>73</v>
      </c>
      <c r="D7" s="101">
        <v>470</v>
      </c>
      <c r="E7" s="102">
        <f>+D7*H7</f>
        <v>160270</v>
      </c>
      <c r="F7" s="102">
        <f>+[29]Main!$K$5-[29]Main!$K$6</f>
        <v>-1845</v>
      </c>
      <c r="G7" s="102">
        <f>+E7-F7</f>
        <v>162115</v>
      </c>
      <c r="H7" s="102">
        <f>+[29]Main!$K$3</f>
        <v>341</v>
      </c>
      <c r="I7" s="84" t="s">
        <v>892</v>
      </c>
      <c r="J7" s="86">
        <v>46042</v>
      </c>
      <c r="K7" s="103"/>
      <c r="L7" s="103"/>
      <c r="M7" s="103"/>
      <c r="N7" s="103"/>
      <c r="O7" s="105"/>
      <c r="P7" s="104"/>
      <c r="Q7" s="110">
        <f t="shared" ref="Q7" si="4">+$G$6/$H$6/W7</f>
        <v>414.66358739600611</v>
      </c>
      <c r="R7" s="110">
        <f t="shared" ref="R7" si="5">+$G$6/$H$6/X7</f>
        <v>89.706471445493591</v>
      </c>
      <c r="S7" s="110">
        <f t="shared" ref="S7:U7" si="6">+$G$6/$H$6/Y7</f>
        <v>40.475131040646019</v>
      </c>
      <c r="T7" s="110">
        <f t="shared" si="6"/>
        <v>25.801289882418157</v>
      </c>
      <c r="U7" s="123">
        <f t="shared" si="6"/>
        <v>19.471505301776997</v>
      </c>
      <c r="V7" s="104"/>
      <c r="W7" s="103">
        <v>0.98</v>
      </c>
      <c r="X7" s="103">
        <v>4.53</v>
      </c>
      <c r="Y7" s="103">
        <v>10.039999999999999</v>
      </c>
      <c r="Z7" s="103">
        <v>15.75</v>
      </c>
      <c r="AA7" s="103">
        <v>20.87</v>
      </c>
      <c r="AB7" s="105"/>
      <c r="AC7" s="83">
        <v>2012</v>
      </c>
      <c r="AD7" s="83">
        <f>2025-AC7</f>
        <v>13</v>
      </c>
      <c r="AG7" s="97">
        <f>+D7/AJ7-1</f>
        <v>-0.30248434299961424</v>
      </c>
      <c r="AJ7" s="59">
        <v>673.82</v>
      </c>
    </row>
    <row r="8" spans="1:36" ht="12.5" x14ac:dyDescent="0.25">
      <c r="A8" s="83" t="s">
        <v>251</v>
      </c>
      <c r="B8" s="85" t="s">
        <v>897</v>
      </c>
      <c r="C8" s="83" t="s">
        <v>898</v>
      </c>
      <c r="D8" s="101"/>
      <c r="E8" s="102"/>
      <c r="F8" s="102"/>
      <c r="G8" s="102"/>
      <c r="H8" s="102"/>
      <c r="I8" s="84"/>
      <c r="J8" s="86"/>
      <c r="K8" s="103"/>
      <c r="L8" s="103"/>
      <c r="M8" s="103"/>
      <c r="N8" s="103"/>
      <c r="O8" s="105"/>
      <c r="P8" s="104"/>
      <c r="Q8" s="110"/>
      <c r="R8" s="110"/>
      <c r="S8" s="110"/>
      <c r="T8" s="110"/>
      <c r="U8" s="123"/>
      <c r="V8" s="104"/>
      <c r="W8" s="103"/>
      <c r="X8" s="103"/>
      <c r="Y8" s="103"/>
      <c r="Z8" s="103"/>
      <c r="AA8" s="103"/>
      <c r="AB8" s="105"/>
      <c r="AC8" s="83"/>
      <c r="AD8" s="83"/>
      <c r="AG8" s="97"/>
    </row>
    <row r="9" spans="1:36" ht="12.5" x14ac:dyDescent="0.25">
      <c r="A9" s="83"/>
      <c r="B9" s="30" t="s">
        <v>691</v>
      </c>
      <c r="C9" s="83" t="s">
        <v>692</v>
      </c>
      <c r="D9" s="102">
        <v>7836</v>
      </c>
      <c r="E9" s="102">
        <f>11520000/JPY</f>
        <v>84130.577667421312</v>
      </c>
      <c r="F9" s="102"/>
      <c r="G9" s="102"/>
      <c r="H9" s="102"/>
      <c r="I9" s="84"/>
      <c r="J9" s="86"/>
      <c r="K9" s="103"/>
      <c r="L9" s="103"/>
      <c r="M9" s="103"/>
      <c r="N9" s="103"/>
      <c r="O9" s="105"/>
      <c r="P9" s="104"/>
      <c r="Q9" s="103"/>
      <c r="R9" s="103"/>
      <c r="S9" s="103"/>
      <c r="T9" s="103"/>
      <c r="U9" s="105"/>
      <c r="V9" s="104"/>
      <c r="W9" s="103"/>
      <c r="X9" s="103"/>
      <c r="Y9" s="103"/>
      <c r="Z9" s="103"/>
      <c r="AA9" s="103"/>
      <c r="AB9" s="105"/>
      <c r="AC9" s="83"/>
      <c r="AD9" s="83"/>
    </row>
    <row r="10" spans="1:36" ht="12.5" x14ac:dyDescent="0.25">
      <c r="A10" s="83"/>
      <c r="B10" s="30" t="s">
        <v>675</v>
      </c>
      <c r="C10" s="83" t="s">
        <v>676</v>
      </c>
      <c r="D10" s="102">
        <v>211</v>
      </c>
      <c r="E10" s="102">
        <f>10390000/JPY</f>
        <v>75878.185934419045</v>
      </c>
      <c r="F10" s="102"/>
      <c r="G10" s="102"/>
      <c r="H10" s="102"/>
      <c r="I10" s="84"/>
      <c r="J10" s="86"/>
      <c r="K10" s="103"/>
      <c r="L10" s="103"/>
      <c r="M10" s="103"/>
      <c r="N10" s="103"/>
      <c r="O10" s="105"/>
      <c r="P10" s="104"/>
      <c r="Q10" s="103"/>
      <c r="R10" s="103"/>
      <c r="S10" s="103"/>
      <c r="T10" s="103"/>
      <c r="U10" s="105"/>
      <c r="V10" s="104"/>
      <c r="W10" s="103"/>
      <c r="X10" s="103"/>
      <c r="Y10" s="103"/>
      <c r="Z10" s="103"/>
      <c r="AA10" s="103"/>
      <c r="AB10" s="105"/>
      <c r="AC10" s="83"/>
      <c r="AD10" s="83"/>
    </row>
    <row r="11" spans="1:36" ht="12.5" x14ac:dyDescent="0.25">
      <c r="A11" s="83" t="s">
        <v>251</v>
      </c>
      <c r="B11" s="30" t="s">
        <v>173</v>
      </c>
      <c r="C11" s="83" t="s">
        <v>174</v>
      </c>
      <c r="D11" s="106">
        <v>2825.35</v>
      </c>
      <c r="E11" s="102">
        <f>D11*H11/CAD</f>
        <v>46084.890152016626</v>
      </c>
      <c r="F11" s="102">
        <f>[30]Main!$O$5-[30]Main!$O$6</f>
        <v>-1163</v>
      </c>
      <c r="G11" s="102">
        <f>E11-F11</f>
        <v>47247.890152016626</v>
      </c>
      <c r="H11" s="102">
        <f>+[30]Main!$O$3</f>
        <v>21.19153</v>
      </c>
      <c r="I11" s="84" t="s">
        <v>376</v>
      </c>
      <c r="J11" s="86">
        <v>45047</v>
      </c>
      <c r="K11" s="103"/>
      <c r="L11" s="103"/>
      <c r="M11" s="103"/>
      <c r="N11" s="103"/>
      <c r="O11" s="105"/>
      <c r="P11" s="104"/>
      <c r="Q11" s="103"/>
      <c r="R11" s="103"/>
      <c r="S11" s="103"/>
      <c r="T11" s="103"/>
      <c r="U11" s="105"/>
      <c r="V11" s="104"/>
      <c r="W11" s="103"/>
      <c r="X11" s="103"/>
      <c r="Y11" s="103"/>
      <c r="Z11" s="103"/>
      <c r="AA11" s="103"/>
      <c r="AB11" s="105"/>
      <c r="AC11" s="83">
        <v>1995</v>
      </c>
      <c r="AD11" s="83">
        <f t="shared" ref="AD11:AD13" si="7">2025-AC11</f>
        <v>30</v>
      </c>
    </row>
    <row r="12" spans="1:36" ht="12.5" x14ac:dyDescent="0.25">
      <c r="A12" s="83"/>
      <c r="B12" s="30" t="s">
        <v>56</v>
      </c>
      <c r="C12" s="83" t="s">
        <v>476</v>
      </c>
      <c r="D12" s="101">
        <v>56.31</v>
      </c>
      <c r="E12" s="102">
        <v>41017</v>
      </c>
      <c r="F12" s="102">
        <f>+[31]Main!$L$5-[31]Main!$L$6</f>
        <v>1921.489</v>
      </c>
      <c r="G12" s="102">
        <f>+E12-F12</f>
        <v>39095.510999999999</v>
      </c>
      <c r="H12" s="102">
        <f>+[31]Main!$L$3</f>
        <v>507</v>
      </c>
      <c r="I12" s="84" t="s">
        <v>664</v>
      </c>
      <c r="J12" s="86">
        <v>45701</v>
      </c>
      <c r="K12" s="103"/>
      <c r="L12" s="103"/>
      <c r="M12" s="103"/>
      <c r="N12" s="103"/>
      <c r="O12" s="105"/>
      <c r="P12" s="104"/>
      <c r="Q12" s="103"/>
      <c r="R12" s="103"/>
      <c r="S12" s="103"/>
      <c r="T12" s="103"/>
      <c r="U12" s="105"/>
      <c r="V12" s="104"/>
      <c r="W12" s="103"/>
      <c r="X12" s="103"/>
      <c r="Y12" s="103"/>
      <c r="Z12" s="103"/>
      <c r="AA12" s="103"/>
      <c r="AB12" s="105"/>
      <c r="AC12" s="83">
        <v>2009</v>
      </c>
      <c r="AD12" s="83">
        <f t="shared" si="7"/>
        <v>16</v>
      </c>
    </row>
    <row r="13" spans="1:36" ht="12.5" x14ac:dyDescent="0.25">
      <c r="A13" s="83" t="s">
        <v>251</v>
      </c>
      <c r="B13" s="30" t="s">
        <v>38</v>
      </c>
      <c r="C13" s="83" t="s">
        <v>39</v>
      </c>
      <c r="D13" s="101">
        <v>91.71</v>
      </c>
      <c r="E13" s="102">
        <f>+D13*[32]Main!$L$3/8</f>
        <v>32488.267499999998</v>
      </c>
      <c r="F13" s="102">
        <f>([32]Main!$L$5-[32]Main!$L$6)/RMB</f>
        <v>30585.01483679525</v>
      </c>
      <c r="G13" s="102">
        <f>E13-F13</f>
        <v>1903.2526632047484</v>
      </c>
      <c r="H13" s="102">
        <f>+[32]Main!$L$3</f>
        <v>2834</v>
      </c>
      <c r="I13" s="84" t="s">
        <v>14</v>
      </c>
      <c r="J13" s="84"/>
      <c r="K13" s="103"/>
      <c r="L13" s="103"/>
      <c r="M13" s="103"/>
      <c r="N13" s="103"/>
      <c r="O13" s="105"/>
      <c r="P13" s="104"/>
      <c r="Q13" s="103"/>
      <c r="R13" s="103"/>
      <c r="S13" s="103"/>
      <c r="T13" s="103"/>
      <c r="U13" s="105"/>
      <c r="V13" s="104"/>
      <c r="W13" s="103"/>
      <c r="X13" s="103"/>
      <c r="Y13" s="103"/>
      <c r="Z13" s="103"/>
      <c r="AA13" s="103"/>
      <c r="AB13" s="105"/>
      <c r="AC13" s="83">
        <v>2000</v>
      </c>
      <c r="AD13" s="83">
        <f t="shared" si="7"/>
        <v>25</v>
      </c>
    </row>
    <row r="14" spans="1:36" ht="12.5" x14ac:dyDescent="0.25">
      <c r="A14" s="83" t="s">
        <v>251</v>
      </c>
      <c r="B14" s="30" t="s">
        <v>38</v>
      </c>
      <c r="C14" s="83" t="s">
        <v>629</v>
      </c>
      <c r="D14" s="101"/>
      <c r="E14" s="102"/>
      <c r="F14" s="102"/>
      <c r="G14" s="102"/>
      <c r="H14" s="102"/>
      <c r="I14" s="84"/>
      <c r="J14" s="84"/>
      <c r="K14" s="103"/>
      <c r="L14" s="103"/>
      <c r="M14" s="103"/>
      <c r="N14" s="103"/>
      <c r="O14" s="105"/>
      <c r="P14" s="104"/>
      <c r="Q14" s="103"/>
      <c r="R14" s="103"/>
      <c r="S14" s="103"/>
      <c r="T14" s="103"/>
      <c r="U14" s="105"/>
      <c r="V14" s="104"/>
      <c r="W14" s="103"/>
      <c r="X14" s="103"/>
      <c r="Y14" s="103"/>
      <c r="Z14" s="103"/>
      <c r="AA14" s="103"/>
      <c r="AB14" s="105"/>
      <c r="AC14" s="83"/>
      <c r="AD14" s="83"/>
    </row>
    <row r="15" spans="1:36" ht="12.5" x14ac:dyDescent="0.25">
      <c r="A15" s="83"/>
      <c r="B15" s="85" t="s">
        <v>310</v>
      </c>
      <c r="C15" s="83" t="s">
        <v>311</v>
      </c>
      <c r="D15" s="101">
        <v>46.37</v>
      </c>
      <c r="E15" s="102">
        <v>20860</v>
      </c>
      <c r="F15" s="84"/>
      <c r="G15" s="84"/>
      <c r="H15" s="84"/>
      <c r="I15" s="84"/>
      <c r="J15" s="84"/>
      <c r="K15" s="103"/>
      <c r="L15" s="103"/>
      <c r="M15" s="103"/>
      <c r="N15" s="103"/>
      <c r="O15" s="105"/>
      <c r="P15" s="104"/>
      <c r="Q15" s="103"/>
      <c r="R15" s="103"/>
      <c r="S15" s="103"/>
      <c r="T15" s="103"/>
      <c r="U15" s="105"/>
      <c r="V15" s="104"/>
      <c r="W15" s="103"/>
      <c r="X15" s="103"/>
      <c r="Y15" s="103"/>
      <c r="Z15" s="103"/>
      <c r="AA15" s="103"/>
      <c r="AB15" s="105"/>
      <c r="AC15" s="83">
        <v>1987</v>
      </c>
      <c r="AD15" s="83"/>
    </row>
    <row r="16" spans="1:36" ht="12.5" x14ac:dyDescent="0.25">
      <c r="A16" s="83" t="s">
        <v>251</v>
      </c>
      <c r="B16" s="85" t="s">
        <v>416</v>
      </c>
      <c r="C16" s="83" t="s">
        <v>417</v>
      </c>
      <c r="D16" s="101">
        <v>529</v>
      </c>
      <c r="E16" s="102">
        <v>58644</v>
      </c>
      <c r="F16" s="84"/>
      <c r="G16" s="84"/>
      <c r="H16" s="84"/>
      <c r="I16" s="84"/>
      <c r="J16" s="84"/>
      <c r="K16" s="103"/>
      <c r="L16" s="103"/>
      <c r="M16" s="103"/>
      <c r="N16" s="103"/>
      <c r="O16" s="105"/>
      <c r="P16" s="104"/>
      <c r="Q16" s="103"/>
      <c r="R16" s="103"/>
      <c r="S16" s="103"/>
      <c r="T16" s="103"/>
      <c r="U16" s="105"/>
      <c r="V16" s="104"/>
      <c r="W16" s="103"/>
      <c r="X16" s="103"/>
      <c r="Y16" s="103"/>
      <c r="Z16" s="103"/>
      <c r="AA16" s="103"/>
      <c r="AB16" s="105"/>
      <c r="AC16" s="83"/>
      <c r="AD16" s="83"/>
    </row>
    <row r="17" spans="1:30" ht="12.5" x14ac:dyDescent="0.25">
      <c r="A17" s="83"/>
      <c r="B17" s="85" t="s">
        <v>418</v>
      </c>
      <c r="C17" s="83" t="s">
        <v>419</v>
      </c>
      <c r="D17" s="101">
        <v>281.41000000000003</v>
      </c>
      <c r="E17" s="102">
        <f>129933/RMB</f>
        <v>19277.893175074183</v>
      </c>
      <c r="F17" s="84"/>
      <c r="G17" s="84"/>
      <c r="H17" s="84"/>
      <c r="I17" s="84"/>
      <c r="J17" s="84"/>
      <c r="K17" s="103"/>
      <c r="L17" s="103"/>
      <c r="M17" s="103"/>
      <c r="N17" s="103"/>
      <c r="O17" s="105"/>
      <c r="P17" s="104"/>
      <c r="Q17" s="103"/>
      <c r="R17" s="103"/>
      <c r="S17" s="103"/>
      <c r="T17" s="103"/>
      <c r="U17" s="105"/>
      <c r="V17" s="104"/>
      <c r="W17" s="103"/>
      <c r="X17" s="103"/>
      <c r="Y17" s="103"/>
      <c r="Z17" s="103"/>
      <c r="AA17" s="103"/>
      <c r="AB17" s="105"/>
      <c r="AC17" s="83"/>
      <c r="AD17" s="83"/>
    </row>
    <row r="18" spans="1:30" ht="12.5" x14ac:dyDescent="0.25">
      <c r="A18" s="83"/>
      <c r="B18" s="85" t="s">
        <v>78</v>
      </c>
      <c r="C18" s="83" t="s">
        <v>79</v>
      </c>
      <c r="D18" s="101">
        <v>16.87</v>
      </c>
      <c r="E18" s="102">
        <v>11408</v>
      </c>
      <c r="F18" s="84"/>
      <c r="G18" s="84"/>
      <c r="H18" s="84"/>
      <c r="I18" s="84"/>
      <c r="J18" s="84"/>
      <c r="K18" s="103"/>
      <c r="L18" s="103"/>
      <c r="M18" s="103"/>
      <c r="N18" s="103"/>
      <c r="O18" s="105"/>
      <c r="P18" s="104"/>
      <c r="Q18" s="103"/>
      <c r="R18" s="103"/>
      <c r="S18" s="103"/>
      <c r="T18" s="103"/>
      <c r="U18" s="105"/>
      <c r="V18" s="104"/>
      <c r="W18" s="103"/>
      <c r="X18" s="103"/>
      <c r="Y18" s="103"/>
      <c r="Z18" s="103"/>
      <c r="AA18" s="103"/>
      <c r="AB18" s="105"/>
      <c r="AC18" s="83">
        <v>2007</v>
      </c>
      <c r="AD18" s="83"/>
    </row>
    <row r="19" spans="1:30" ht="12.5" x14ac:dyDescent="0.25">
      <c r="A19" s="83"/>
      <c r="B19" s="85" t="s">
        <v>437</v>
      </c>
      <c r="C19" s="83" t="s">
        <v>438</v>
      </c>
      <c r="D19" s="101">
        <v>34.99</v>
      </c>
      <c r="E19" s="102">
        <v>18901</v>
      </c>
      <c r="F19" s="84"/>
      <c r="G19" s="84"/>
      <c r="H19" s="84"/>
      <c r="I19" s="84"/>
      <c r="J19" s="84"/>
      <c r="K19" s="103"/>
      <c r="L19" s="103"/>
      <c r="M19" s="103"/>
      <c r="N19" s="103"/>
      <c r="O19" s="105"/>
      <c r="P19" s="104"/>
      <c r="Q19" s="103"/>
      <c r="R19" s="103"/>
      <c r="S19" s="103"/>
      <c r="T19" s="103"/>
      <c r="U19" s="105"/>
      <c r="V19" s="104"/>
      <c r="W19" s="103"/>
      <c r="X19" s="103"/>
      <c r="Y19" s="103"/>
      <c r="Z19" s="103"/>
      <c r="AA19" s="103"/>
      <c r="AB19" s="105"/>
      <c r="AC19" s="83"/>
      <c r="AD19" s="83"/>
    </row>
    <row r="20" spans="1:30" ht="12.5" x14ac:dyDescent="0.25">
      <c r="A20" s="83"/>
      <c r="B20" s="85" t="s">
        <v>84</v>
      </c>
      <c r="C20" s="83" t="s">
        <v>85</v>
      </c>
      <c r="D20" s="101">
        <v>363.45</v>
      </c>
      <c r="E20" s="102">
        <v>15250</v>
      </c>
      <c r="F20" s="84"/>
      <c r="G20" s="84"/>
      <c r="H20" s="84"/>
      <c r="I20" s="84"/>
      <c r="J20" s="84"/>
      <c r="K20" s="103"/>
      <c r="L20" s="103"/>
      <c r="M20" s="103"/>
      <c r="N20" s="103"/>
      <c r="O20" s="105"/>
      <c r="P20" s="104"/>
      <c r="Q20" s="103"/>
      <c r="R20" s="103"/>
      <c r="S20" s="103"/>
      <c r="T20" s="103"/>
      <c r="U20" s="105"/>
      <c r="V20" s="104"/>
      <c r="W20" s="103"/>
      <c r="X20" s="103"/>
      <c r="Y20" s="103"/>
      <c r="Z20" s="103"/>
      <c r="AA20" s="103"/>
      <c r="AB20" s="105"/>
      <c r="AC20" s="83">
        <v>1966</v>
      </c>
      <c r="AD20" s="83"/>
    </row>
    <row r="21" spans="1:30" ht="12.5" x14ac:dyDescent="0.25">
      <c r="A21" s="83"/>
      <c r="B21" s="85" t="s">
        <v>101</v>
      </c>
      <c r="C21" s="83" t="s">
        <v>102</v>
      </c>
      <c r="D21" s="101">
        <v>408.48</v>
      </c>
      <c r="E21" s="102">
        <v>10570</v>
      </c>
      <c r="F21" s="84"/>
      <c r="G21" s="84"/>
      <c r="H21" s="84"/>
      <c r="I21" s="84"/>
      <c r="J21" s="84"/>
      <c r="K21" s="103"/>
      <c r="L21" s="103"/>
      <c r="M21" s="103"/>
      <c r="N21" s="103"/>
      <c r="O21" s="105"/>
      <c r="P21" s="104"/>
      <c r="Q21" s="103"/>
      <c r="R21" s="103"/>
      <c r="S21" s="103"/>
      <c r="T21" s="103"/>
      <c r="U21" s="105"/>
      <c r="V21" s="104"/>
      <c r="W21" s="103"/>
      <c r="X21" s="103"/>
      <c r="Y21" s="103"/>
      <c r="Z21" s="103"/>
      <c r="AA21" s="103"/>
      <c r="AB21" s="105"/>
      <c r="AC21" s="83"/>
      <c r="AD21" s="83"/>
    </row>
    <row r="22" spans="1:30" ht="12.5" x14ac:dyDescent="0.25">
      <c r="A22" s="83"/>
      <c r="B22" s="85" t="s">
        <v>745</v>
      </c>
      <c r="C22" s="83" t="s">
        <v>909</v>
      </c>
      <c r="D22" s="101"/>
      <c r="E22" s="102"/>
      <c r="F22" s="84"/>
      <c r="G22" s="84"/>
      <c r="H22" s="84"/>
      <c r="I22" s="84"/>
      <c r="J22" s="84"/>
      <c r="K22" s="103"/>
      <c r="L22" s="103"/>
      <c r="M22" s="103"/>
      <c r="N22" s="103"/>
      <c r="O22" s="105"/>
      <c r="P22" s="104"/>
      <c r="Q22" s="103"/>
      <c r="R22" s="103"/>
      <c r="S22" s="103"/>
      <c r="T22" s="103"/>
      <c r="U22" s="105"/>
      <c r="V22" s="104"/>
      <c r="W22" s="103"/>
      <c r="X22" s="103"/>
      <c r="Y22" s="103"/>
      <c r="Z22" s="103"/>
      <c r="AA22" s="103"/>
      <c r="AB22" s="105"/>
      <c r="AC22" s="83"/>
      <c r="AD22" s="83"/>
    </row>
    <row r="23" spans="1:30" ht="12.5" x14ac:dyDescent="0.25">
      <c r="A23" s="83"/>
      <c r="B23" s="85" t="s">
        <v>105</v>
      </c>
      <c r="C23" s="83" t="s">
        <v>106</v>
      </c>
      <c r="D23" s="101">
        <v>80.52</v>
      </c>
      <c r="E23" s="102">
        <v>10310</v>
      </c>
      <c r="F23" s="84"/>
      <c r="G23" s="84"/>
      <c r="H23" s="84"/>
      <c r="I23" s="84"/>
      <c r="J23" s="84"/>
      <c r="K23" s="103"/>
      <c r="L23" s="103"/>
      <c r="M23" s="103"/>
      <c r="N23" s="103"/>
      <c r="O23" s="105"/>
      <c r="P23" s="104"/>
      <c r="Q23" s="103"/>
      <c r="R23" s="103"/>
      <c r="S23" s="103"/>
      <c r="T23" s="103"/>
      <c r="U23" s="105"/>
      <c r="V23" s="104"/>
      <c r="W23" s="103"/>
      <c r="X23" s="103"/>
      <c r="Y23" s="103"/>
      <c r="Z23" s="103"/>
      <c r="AA23" s="103"/>
      <c r="AB23" s="105"/>
      <c r="AC23" s="83">
        <v>2007</v>
      </c>
      <c r="AD23" s="83"/>
    </row>
    <row r="24" spans="1:30" ht="12.5" x14ac:dyDescent="0.25">
      <c r="A24" s="83"/>
      <c r="B24" s="85" t="s">
        <v>109</v>
      </c>
      <c r="C24" s="83" t="s">
        <v>110</v>
      </c>
      <c r="D24" s="101">
        <v>8.17</v>
      </c>
      <c r="E24" s="102">
        <v>9320</v>
      </c>
      <c r="F24" s="84"/>
      <c r="G24" s="84"/>
      <c r="H24" s="84"/>
      <c r="I24" s="84"/>
      <c r="J24" s="84"/>
      <c r="K24" s="103"/>
      <c r="L24" s="103"/>
      <c r="M24" s="103"/>
      <c r="N24" s="103"/>
      <c r="O24" s="105"/>
      <c r="P24" s="104"/>
      <c r="Q24" s="103"/>
      <c r="R24" s="103"/>
      <c r="S24" s="103"/>
      <c r="T24" s="103"/>
      <c r="U24" s="105"/>
      <c r="V24" s="104"/>
      <c r="W24" s="103"/>
      <c r="X24" s="103"/>
      <c r="Y24" s="103"/>
      <c r="Z24" s="103"/>
      <c r="AA24" s="103"/>
      <c r="AB24" s="105"/>
      <c r="AC24" s="83"/>
      <c r="AD24" s="83"/>
    </row>
    <row r="25" spans="1:30" ht="12.5" x14ac:dyDescent="0.25">
      <c r="A25" s="83"/>
      <c r="B25" s="85" t="s">
        <v>113</v>
      </c>
      <c r="C25" s="83" t="s">
        <v>114</v>
      </c>
      <c r="D25" s="101">
        <v>203.42</v>
      </c>
      <c r="E25" s="102">
        <v>8580</v>
      </c>
      <c r="F25" s="84"/>
      <c r="G25" s="84"/>
      <c r="H25" s="84"/>
      <c r="I25" s="84"/>
      <c r="J25" s="84"/>
      <c r="K25" s="103"/>
      <c r="L25" s="103"/>
      <c r="M25" s="103"/>
      <c r="N25" s="103"/>
      <c r="O25" s="105"/>
      <c r="P25" s="104"/>
      <c r="Q25" s="103"/>
      <c r="R25" s="103"/>
      <c r="S25" s="103"/>
      <c r="T25" s="103"/>
      <c r="U25" s="105"/>
      <c r="V25" s="104"/>
      <c r="W25" s="103"/>
      <c r="X25" s="103"/>
      <c r="Y25" s="103"/>
      <c r="Z25" s="103"/>
      <c r="AA25" s="103"/>
      <c r="AB25" s="105"/>
      <c r="AC25" s="83">
        <v>2003</v>
      </c>
      <c r="AD25" s="83"/>
    </row>
    <row r="26" spans="1:30" ht="12.5" x14ac:dyDescent="0.25">
      <c r="A26" s="83"/>
      <c r="B26" s="85" t="s">
        <v>116</v>
      </c>
      <c r="C26" s="83" t="s">
        <v>117</v>
      </c>
      <c r="D26" s="101">
        <v>126.81</v>
      </c>
      <c r="E26" s="102">
        <v>8200</v>
      </c>
      <c r="F26" s="84"/>
      <c r="G26" s="84"/>
      <c r="H26" s="84"/>
      <c r="I26" s="84"/>
      <c r="J26" s="84"/>
      <c r="K26" s="103"/>
      <c r="L26" s="103"/>
      <c r="M26" s="103"/>
      <c r="N26" s="103"/>
      <c r="O26" s="105"/>
      <c r="P26" s="104"/>
      <c r="Q26" s="103"/>
      <c r="R26" s="103"/>
      <c r="S26" s="103"/>
      <c r="T26" s="103"/>
      <c r="U26" s="105"/>
      <c r="V26" s="104"/>
      <c r="W26" s="103"/>
      <c r="X26" s="103"/>
      <c r="Y26" s="103"/>
      <c r="Z26" s="103"/>
      <c r="AA26" s="103"/>
      <c r="AB26" s="105"/>
      <c r="AC26" s="83"/>
      <c r="AD26" s="83"/>
    </row>
    <row r="27" spans="1:30" ht="12.5" x14ac:dyDescent="0.25">
      <c r="A27" s="83"/>
      <c r="B27" s="85" t="s">
        <v>118</v>
      </c>
      <c r="C27" s="83" t="s">
        <v>119</v>
      </c>
      <c r="D27" s="101">
        <v>50.35</v>
      </c>
      <c r="E27" s="102">
        <v>8150</v>
      </c>
      <c r="F27" s="84"/>
      <c r="G27" s="84"/>
      <c r="H27" s="84"/>
      <c r="I27" s="84"/>
      <c r="J27" s="84"/>
      <c r="K27" s="103"/>
      <c r="L27" s="103"/>
      <c r="M27" s="103"/>
      <c r="N27" s="103"/>
      <c r="O27" s="105"/>
      <c r="P27" s="104"/>
      <c r="Q27" s="103"/>
      <c r="R27" s="103"/>
      <c r="S27" s="103"/>
      <c r="T27" s="103"/>
      <c r="U27" s="105"/>
      <c r="V27" s="104"/>
      <c r="W27" s="103"/>
      <c r="X27" s="103"/>
      <c r="Y27" s="103"/>
      <c r="Z27" s="103"/>
      <c r="AA27" s="103"/>
      <c r="AB27" s="105"/>
      <c r="AC27" s="83"/>
      <c r="AD27" s="83"/>
    </row>
    <row r="28" spans="1:30" ht="12.5" x14ac:dyDescent="0.25">
      <c r="A28" s="83"/>
      <c r="B28" s="85" t="s">
        <v>121</v>
      </c>
      <c r="C28" s="83" t="s">
        <v>122</v>
      </c>
      <c r="D28" s="101">
        <v>88.7</v>
      </c>
      <c r="E28" s="102">
        <v>7910</v>
      </c>
      <c r="F28" s="84"/>
      <c r="G28" s="84"/>
      <c r="H28" s="84"/>
      <c r="I28" s="84"/>
      <c r="J28" s="84"/>
      <c r="K28" s="103"/>
      <c r="L28" s="103"/>
      <c r="M28" s="103"/>
      <c r="N28" s="103"/>
      <c r="O28" s="105"/>
      <c r="P28" s="104"/>
      <c r="Q28" s="103"/>
      <c r="R28" s="103"/>
      <c r="S28" s="103"/>
      <c r="T28" s="103"/>
      <c r="U28" s="105"/>
      <c r="V28" s="104"/>
      <c r="W28" s="103"/>
      <c r="X28" s="103"/>
      <c r="Y28" s="103"/>
      <c r="Z28" s="103"/>
      <c r="AA28" s="103"/>
      <c r="AB28" s="105"/>
      <c r="AC28" s="83"/>
      <c r="AD28" s="83"/>
    </row>
    <row r="29" spans="1:30" ht="12.5" x14ac:dyDescent="0.25">
      <c r="A29" s="83"/>
      <c r="B29" s="85" t="s">
        <v>125</v>
      </c>
      <c r="C29" s="83" t="s">
        <v>126</v>
      </c>
      <c r="D29" s="101">
        <v>50.36</v>
      </c>
      <c r="E29" s="102">
        <v>7140</v>
      </c>
      <c r="F29" s="84"/>
      <c r="G29" s="84"/>
      <c r="H29" s="84"/>
      <c r="I29" s="84"/>
      <c r="J29" s="84"/>
      <c r="K29" s="103"/>
      <c r="L29" s="103"/>
      <c r="M29" s="103"/>
      <c r="N29" s="103"/>
      <c r="O29" s="105"/>
      <c r="P29" s="104"/>
      <c r="Q29" s="103"/>
      <c r="R29" s="103"/>
      <c r="S29" s="103"/>
      <c r="T29" s="103"/>
      <c r="U29" s="105"/>
      <c r="V29" s="104"/>
      <c r="W29" s="103"/>
      <c r="X29" s="103"/>
      <c r="Y29" s="103"/>
      <c r="Z29" s="103"/>
      <c r="AA29" s="103"/>
      <c r="AB29" s="105"/>
      <c r="AC29" s="83"/>
      <c r="AD29" s="83"/>
    </row>
    <row r="30" spans="1:30" ht="12.5" x14ac:dyDescent="0.25">
      <c r="A30" s="83"/>
      <c r="B30" s="85" t="s">
        <v>127</v>
      </c>
      <c r="C30" s="83" t="s">
        <v>128</v>
      </c>
      <c r="D30" s="101">
        <v>80.58</v>
      </c>
      <c r="E30" s="102">
        <v>6930</v>
      </c>
      <c r="F30" s="84"/>
      <c r="G30" s="84"/>
      <c r="H30" s="84"/>
      <c r="I30" s="84"/>
      <c r="J30" s="84"/>
      <c r="K30" s="103"/>
      <c r="L30" s="103"/>
      <c r="M30" s="103"/>
      <c r="N30" s="103"/>
      <c r="O30" s="105"/>
      <c r="P30" s="104"/>
      <c r="Q30" s="103"/>
      <c r="R30" s="103"/>
      <c r="S30" s="103"/>
      <c r="T30" s="103"/>
      <c r="U30" s="105"/>
      <c r="V30" s="104"/>
      <c r="W30" s="103"/>
      <c r="X30" s="103"/>
      <c r="Y30" s="103"/>
      <c r="Z30" s="103"/>
      <c r="AA30" s="103"/>
      <c r="AB30" s="105"/>
      <c r="AC30" s="83"/>
      <c r="AD30" s="83"/>
    </row>
    <row r="31" spans="1:30" ht="12.5" x14ac:dyDescent="0.25">
      <c r="A31" s="83"/>
      <c r="B31" s="85" t="s">
        <v>133</v>
      </c>
      <c r="C31" s="83" t="s">
        <v>134</v>
      </c>
      <c r="D31" s="101">
        <v>54.6</v>
      </c>
      <c r="E31" s="102">
        <v>6370</v>
      </c>
      <c r="F31" s="84"/>
      <c r="G31" s="84"/>
      <c r="H31" s="84"/>
      <c r="I31" s="84"/>
      <c r="J31" s="84"/>
      <c r="K31" s="103"/>
      <c r="L31" s="103"/>
      <c r="M31" s="103"/>
      <c r="N31" s="103"/>
      <c r="O31" s="105"/>
      <c r="P31" s="104"/>
      <c r="Q31" s="103"/>
      <c r="R31" s="103"/>
      <c r="S31" s="103"/>
      <c r="T31" s="103"/>
      <c r="U31" s="105"/>
      <c r="V31" s="104"/>
      <c r="W31" s="103"/>
      <c r="X31" s="103"/>
      <c r="Y31" s="103"/>
      <c r="Z31" s="103"/>
      <c r="AA31" s="103"/>
      <c r="AB31" s="105"/>
      <c r="AC31" s="83"/>
      <c r="AD31" s="83"/>
    </row>
    <row r="32" spans="1:30" ht="12.5" x14ac:dyDescent="0.25">
      <c r="A32" s="83"/>
      <c r="B32" s="85" t="s">
        <v>135</v>
      </c>
      <c r="C32" s="83" t="s">
        <v>136</v>
      </c>
      <c r="D32" s="101">
        <v>62.59</v>
      </c>
      <c r="E32" s="102">
        <v>6350</v>
      </c>
      <c r="F32" s="84"/>
      <c r="G32" s="84"/>
      <c r="H32" s="84"/>
      <c r="I32" s="84"/>
      <c r="J32" s="84"/>
      <c r="K32" s="103"/>
      <c r="L32" s="103"/>
      <c r="M32" s="103"/>
      <c r="N32" s="103"/>
      <c r="O32" s="105"/>
      <c r="P32" s="104"/>
      <c r="Q32" s="103"/>
      <c r="R32" s="103"/>
      <c r="S32" s="103"/>
      <c r="T32" s="103"/>
      <c r="U32" s="105"/>
      <c r="V32" s="104"/>
      <c r="W32" s="103"/>
      <c r="X32" s="103"/>
      <c r="Y32" s="103"/>
      <c r="Z32" s="103"/>
      <c r="AA32" s="103"/>
      <c r="AB32" s="105"/>
      <c r="AC32" s="83"/>
      <c r="AD32" s="83"/>
    </row>
    <row r="33" spans="1:30" ht="12.5" x14ac:dyDescent="0.25">
      <c r="A33" s="83"/>
      <c r="B33" s="85" t="s">
        <v>137</v>
      </c>
      <c r="C33" s="83" t="s">
        <v>137</v>
      </c>
      <c r="D33" s="101">
        <v>62.71</v>
      </c>
      <c r="E33" s="102">
        <v>3603</v>
      </c>
      <c r="F33" s="84"/>
      <c r="G33" s="84"/>
      <c r="H33" s="84"/>
      <c r="I33" s="84"/>
      <c r="J33" s="84"/>
      <c r="K33" s="103"/>
      <c r="L33" s="103"/>
      <c r="M33" s="103"/>
      <c r="N33" s="103"/>
      <c r="O33" s="105"/>
      <c r="P33" s="104"/>
      <c r="Q33" s="103"/>
      <c r="R33" s="103"/>
      <c r="S33" s="103"/>
      <c r="T33" s="103"/>
      <c r="U33" s="105"/>
      <c r="V33" s="104"/>
      <c r="W33" s="103"/>
      <c r="X33" s="103"/>
      <c r="Y33" s="103"/>
      <c r="Z33" s="103"/>
      <c r="AA33" s="103"/>
      <c r="AB33" s="105"/>
      <c r="AC33" s="83"/>
      <c r="AD33" s="83"/>
    </row>
    <row r="34" spans="1:30" ht="12.5" x14ac:dyDescent="0.25">
      <c r="A34" s="83"/>
      <c r="B34" s="30" t="s">
        <v>330</v>
      </c>
      <c r="C34" s="83" t="s">
        <v>612</v>
      </c>
      <c r="D34" s="101">
        <v>13.99</v>
      </c>
      <c r="E34" s="102">
        <f>+D34*H34</f>
        <v>1249.307</v>
      </c>
      <c r="F34" s="102">
        <f>+[33]Main!$K$5-[33]Main!$K$6</f>
        <v>357.65600000000001</v>
      </c>
      <c r="G34" s="102">
        <f>+E34-F34</f>
        <v>891.65100000000007</v>
      </c>
      <c r="H34" s="102">
        <f>+[33]Main!$K$3</f>
        <v>89.3</v>
      </c>
      <c r="I34" s="84" t="s">
        <v>610</v>
      </c>
      <c r="J34" s="86">
        <v>45546</v>
      </c>
      <c r="K34" s="103"/>
      <c r="L34" s="103"/>
      <c r="M34" s="103"/>
      <c r="N34" s="103"/>
      <c r="O34" s="105"/>
      <c r="P34" s="104"/>
      <c r="Q34" s="103"/>
      <c r="R34" s="103"/>
      <c r="S34" s="103"/>
      <c r="T34" s="103"/>
      <c r="U34" s="105"/>
      <c r="V34" s="104"/>
      <c r="W34" s="103"/>
      <c r="X34" s="103"/>
      <c r="Y34" s="103"/>
      <c r="Z34" s="103"/>
      <c r="AA34" s="103"/>
      <c r="AB34" s="105"/>
      <c r="AC34" s="83"/>
      <c r="AD34" s="83"/>
    </row>
    <row r="35" spans="1:30" ht="12.5" x14ac:dyDescent="0.25">
      <c r="A35" s="83"/>
      <c r="B35" s="85" t="s">
        <v>497</v>
      </c>
      <c r="C35" s="83" t="s">
        <v>498</v>
      </c>
      <c r="D35" s="101"/>
      <c r="E35" s="102"/>
      <c r="F35" s="84"/>
      <c r="G35" s="84"/>
      <c r="H35" s="84"/>
      <c r="I35" s="84"/>
      <c r="J35" s="84"/>
      <c r="K35" s="103"/>
      <c r="L35" s="103"/>
      <c r="M35" s="103"/>
      <c r="N35" s="103"/>
      <c r="O35" s="105"/>
      <c r="P35" s="104"/>
      <c r="Q35" s="103"/>
      <c r="R35" s="103"/>
      <c r="S35" s="103"/>
      <c r="T35" s="103"/>
      <c r="U35" s="105"/>
      <c r="V35" s="104"/>
      <c r="W35" s="103"/>
      <c r="X35" s="103"/>
      <c r="Y35" s="103"/>
      <c r="Z35" s="103"/>
      <c r="AA35" s="103"/>
      <c r="AB35" s="105"/>
      <c r="AC35" s="83"/>
      <c r="AD35" s="83"/>
    </row>
    <row r="36" spans="1:30" ht="12.5" x14ac:dyDescent="0.25">
      <c r="A36" s="83"/>
      <c r="B36" s="85" t="s">
        <v>138</v>
      </c>
      <c r="C36" s="83" t="s">
        <v>139</v>
      </c>
      <c r="D36" s="101">
        <v>21.19</v>
      </c>
      <c r="E36" s="102">
        <v>2965</v>
      </c>
      <c r="F36" s="84"/>
      <c r="G36" s="84"/>
      <c r="H36" s="84"/>
      <c r="I36" s="84"/>
      <c r="J36" s="84"/>
      <c r="K36" s="103"/>
      <c r="L36" s="103"/>
      <c r="M36" s="103"/>
      <c r="N36" s="103"/>
      <c r="O36" s="105"/>
      <c r="P36" s="104"/>
      <c r="Q36" s="103"/>
      <c r="R36" s="103"/>
      <c r="S36" s="103"/>
      <c r="T36" s="103"/>
      <c r="U36" s="105"/>
      <c r="V36" s="104"/>
      <c r="W36" s="103"/>
      <c r="X36" s="103"/>
      <c r="Y36" s="103"/>
      <c r="Z36" s="103"/>
      <c r="AA36" s="103"/>
      <c r="AB36" s="105"/>
      <c r="AC36" s="83"/>
      <c r="AD36" s="83"/>
    </row>
    <row r="37" spans="1:30" ht="12.5" x14ac:dyDescent="0.25">
      <c r="A37" s="83"/>
      <c r="B37" s="85" t="s">
        <v>213</v>
      </c>
      <c r="C37" s="83" t="s">
        <v>214</v>
      </c>
      <c r="D37" s="101">
        <v>13.95</v>
      </c>
      <c r="E37" s="102">
        <v>2030</v>
      </c>
      <c r="F37" s="84"/>
      <c r="G37" s="84"/>
      <c r="H37" s="84"/>
      <c r="I37" s="84"/>
      <c r="J37" s="84"/>
      <c r="K37" s="103"/>
      <c r="L37" s="103"/>
      <c r="M37" s="103"/>
      <c r="N37" s="103"/>
      <c r="O37" s="105"/>
      <c r="P37" s="104"/>
      <c r="Q37" s="103"/>
      <c r="R37" s="103"/>
      <c r="S37" s="103"/>
      <c r="T37" s="103"/>
      <c r="U37" s="105"/>
      <c r="V37" s="104"/>
      <c r="W37" s="103"/>
      <c r="X37" s="103"/>
      <c r="Y37" s="103"/>
      <c r="Z37" s="103"/>
      <c r="AA37" s="103"/>
      <c r="AB37" s="105"/>
      <c r="AC37" s="83"/>
      <c r="AD37" s="83"/>
    </row>
    <row r="38" spans="1:30" ht="12.5" x14ac:dyDescent="0.25">
      <c r="A38" s="83"/>
      <c r="B38" s="85" t="s">
        <v>215</v>
      </c>
      <c r="C38" s="83" t="s">
        <v>216</v>
      </c>
      <c r="D38" s="101">
        <v>19.95</v>
      </c>
      <c r="E38" s="102">
        <v>2560</v>
      </c>
      <c r="F38" s="84"/>
      <c r="G38" s="84"/>
      <c r="H38" s="84"/>
      <c r="I38" s="84"/>
      <c r="J38" s="84"/>
      <c r="K38" s="103"/>
      <c r="L38" s="103"/>
      <c r="M38" s="103"/>
      <c r="N38" s="103"/>
      <c r="O38" s="105"/>
      <c r="P38" s="104"/>
      <c r="Q38" s="103"/>
      <c r="R38" s="103"/>
      <c r="S38" s="103"/>
      <c r="T38" s="103"/>
      <c r="U38" s="105"/>
      <c r="V38" s="104"/>
      <c r="W38" s="103"/>
      <c r="X38" s="103"/>
      <c r="Y38" s="103"/>
      <c r="Z38" s="103"/>
      <c r="AA38" s="103"/>
      <c r="AB38" s="105"/>
      <c r="AC38" s="83"/>
      <c r="AD38" s="83"/>
    </row>
    <row r="39" spans="1:30" ht="12.5" x14ac:dyDescent="0.25">
      <c r="A39" s="83"/>
      <c r="B39" s="85" t="s">
        <v>224</v>
      </c>
      <c r="C39" s="83" t="s">
        <v>225</v>
      </c>
      <c r="D39" s="101"/>
      <c r="E39" s="102"/>
      <c r="F39" s="84"/>
      <c r="G39" s="84"/>
      <c r="H39" s="84"/>
      <c r="I39" s="84"/>
      <c r="J39" s="84"/>
      <c r="K39" s="103"/>
      <c r="L39" s="103"/>
      <c r="M39" s="103"/>
      <c r="N39" s="103"/>
      <c r="O39" s="105"/>
      <c r="P39" s="104"/>
      <c r="Q39" s="103"/>
      <c r="R39" s="103"/>
      <c r="S39" s="103"/>
      <c r="T39" s="103"/>
      <c r="U39" s="105"/>
      <c r="V39" s="104"/>
      <c r="W39" s="103"/>
      <c r="X39" s="103"/>
      <c r="Y39" s="103"/>
      <c r="Z39" s="103"/>
      <c r="AA39" s="103"/>
      <c r="AB39" s="105"/>
      <c r="AC39" s="83"/>
      <c r="AD39" s="83"/>
    </row>
    <row r="40" spans="1:30" ht="12.5" x14ac:dyDescent="0.25">
      <c r="A40" s="83"/>
      <c r="B40" s="85" t="s">
        <v>389</v>
      </c>
      <c r="C40" s="83"/>
      <c r="D40" s="101"/>
      <c r="E40" s="102"/>
      <c r="F40" s="84"/>
      <c r="G40" s="84"/>
      <c r="H40" s="84"/>
      <c r="I40" s="84"/>
      <c r="J40" s="84"/>
      <c r="K40" s="103"/>
      <c r="L40" s="103"/>
      <c r="M40" s="103"/>
      <c r="N40" s="103"/>
      <c r="O40" s="105"/>
      <c r="P40" s="104"/>
      <c r="Q40" s="103"/>
      <c r="R40" s="103"/>
      <c r="S40" s="103"/>
      <c r="T40" s="103"/>
      <c r="U40" s="105"/>
      <c r="V40" s="104"/>
      <c r="W40" s="103"/>
      <c r="X40" s="103"/>
      <c r="Y40" s="103"/>
      <c r="Z40" s="103"/>
      <c r="AA40" s="103"/>
      <c r="AB40" s="105"/>
      <c r="AC40" s="83"/>
      <c r="AD40" s="83"/>
    </row>
    <row r="41" spans="1:30" ht="12.5" x14ac:dyDescent="0.25">
      <c r="A41" s="83"/>
      <c r="B41" s="85" t="s">
        <v>487</v>
      </c>
      <c r="C41" s="83" t="s">
        <v>488</v>
      </c>
      <c r="D41" s="101"/>
      <c r="E41" s="102"/>
      <c r="F41" s="84"/>
      <c r="G41" s="84"/>
      <c r="H41" s="84"/>
      <c r="I41" s="84"/>
      <c r="J41" s="84"/>
      <c r="K41" s="103"/>
      <c r="L41" s="103"/>
      <c r="M41" s="103"/>
      <c r="N41" s="103"/>
      <c r="O41" s="105"/>
      <c r="P41" s="104"/>
      <c r="Q41" s="103"/>
      <c r="R41" s="103"/>
      <c r="S41" s="103"/>
      <c r="T41" s="103"/>
      <c r="U41" s="105"/>
      <c r="V41" s="104"/>
      <c r="W41" s="103"/>
      <c r="X41" s="103"/>
      <c r="Y41" s="103"/>
      <c r="Z41" s="103"/>
      <c r="AA41" s="103"/>
      <c r="AB41" s="105"/>
      <c r="AC41" s="83"/>
      <c r="AD41" s="83"/>
    </row>
    <row r="42" spans="1:30" ht="12.5" x14ac:dyDescent="0.25">
      <c r="A42" s="83"/>
      <c r="B42" s="85" t="s">
        <v>732</v>
      </c>
      <c r="C42" s="83" t="s">
        <v>733</v>
      </c>
      <c r="D42" s="101">
        <v>0.93</v>
      </c>
      <c r="E42" s="102"/>
      <c r="F42" s="84"/>
      <c r="G42" s="84"/>
      <c r="H42" s="84"/>
      <c r="I42" s="84"/>
      <c r="J42" s="84"/>
      <c r="K42" s="103"/>
      <c r="L42" s="103"/>
      <c r="M42" s="103"/>
      <c r="N42" s="103"/>
      <c r="O42" s="105"/>
      <c r="P42" s="104"/>
      <c r="Q42" s="103"/>
      <c r="R42" s="103"/>
      <c r="S42" s="103"/>
      <c r="T42" s="103"/>
      <c r="U42" s="105"/>
      <c r="V42" s="104"/>
      <c r="W42" s="103"/>
      <c r="X42" s="103"/>
      <c r="Y42" s="103"/>
      <c r="Z42" s="103"/>
      <c r="AA42" s="103"/>
      <c r="AB42" s="105"/>
      <c r="AC42" s="83"/>
      <c r="AD42" s="83"/>
    </row>
    <row r="43" spans="1:30" ht="12.5" x14ac:dyDescent="0.25">
      <c r="A43" s="83"/>
      <c r="B43" s="85" t="s">
        <v>422</v>
      </c>
      <c r="C43" s="83" t="s">
        <v>423</v>
      </c>
      <c r="D43" s="101"/>
      <c r="E43" s="102"/>
      <c r="F43" s="84"/>
      <c r="G43" s="84"/>
      <c r="H43" s="84"/>
      <c r="I43" s="84"/>
      <c r="J43" s="84"/>
      <c r="K43" s="103"/>
      <c r="L43" s="103"/>
      <c r="M43" s="103"/>
      <c r="N43" s="103"/>
      <c r="O43" s="105"/>
      <c r="P43" s="104"/>
      <c r="Q43" s="103"/>
      <c r="R43" s="103"/>
      <c r="S43" s="103"/>
      <c r="T43" s="103"/>
      <c r="U43" s="105"/>
      <c r="V43" s="104"/>
      <c r="W43" s="103"/>
      <c r="X43" s="103"/>
      <c r="Y43" s="103"/>
      <c r="Z43" s="103"/>
      <c r="AA43" s="103"/>
      <c r="AB43" s="105"/>
      <c r="AC43" s="83"/>
      <c r="AD43" s="83"/>
    </row>
    <row r="44" spans="1:30" ht="12.5" x14ac:dyDescent="0.25">
      <c r="A44" s="83"/>
      <c r="B44" s="85" t="s">
        <v>520</v>
      </c>
      <c r="C44" s="83" t="s">
        <v>521</v>
      </c>
      <c r="D44" s="101"/>
      <c r="E44" s="102"/>
      <c r="F44" s="84"/>
      <c r="G44" s="84"/>
      <c r="H44" s="84"/>
      <c r="I44" s="84"/>
      <c r="J44" s="84"/>
      <c r="K44" s="103"/>
      <c r="L44" s="103"/>
      <c r="M44" s="103"/>
      <c r="N44" s="103"/>
      <c r="O44" s="105"/>
      <c r="P44" s="104"/>
      <c r="Q44" s="103"/>
      <c r="R44" s="103"/>
      <c r="S44" s="103"/>
      <c r="T44" s="103"/>
      <c r="U44" s="105"/>
      <c r="V44" s="104"/>
      <c r="W44" s="103"/>
      <c r="X44" s="103"/>
      <c r="Y44" s="103"/>
      <c r="Z44" s="103"/>
      <c r="AA44" s="103"/>
      <c r="AB44" s="105"/>
      <c r="AC44" s="83"/>
      <c r="AD44" s="83"/>
    </row>
    <row r="45" spans="1:30" ht="12.5" x14ac:dyDescent="0.25">
      <c r="A45" s="83"/>
      <c r="B45" s="85" t="s">
        <v>631</v>
      </c>
      <c r="C45" s="83" t="s">
        <v>630</v>
      </c>
      <c r="D45" s="101"/>
      <c r="E45" s="102"/>
      <c r="F45" s="84"/>
      <c r="G45" s="84"/>
      <c r="H45" s="84"/>
      <c r="I45" s="84"/>
      <c r="J45" s="84"/>
      <c r="K45" s="103"/>
      <c r="L45" s="103"/>
      <c r="M45" s="103"/>
      <c r="N45" s="103"/>
      <c r="O45" s="105"/>
      <c r="P45" s="104"/>
      <c r="Q45" s="103"/>
      <c r="R45" s="103"/>
      <c r="S45" s="103"/>
      <c r="T45" s="103"/>
      <c r="U45" s="105"/>
      <c r="V45" s="104"/>
      <c r="W45" s="103"/>
      <c r="X45" s="103"/>
      <c r="Y45" s="103"/>
      <c r="Z45" s="103"/>
      <c r="AA45" s="103"/>
      <c r="AB45" s="105"/>
      <c r="AC45" s="83"/>
      <c r="AD45" s="83"/>
    </row>
    <row r="46" spans="1:30" ht="12.5" x14ac:dyDescent="0.25">
      <c r="A46" s="83"/>
      <c r="B46" s="85" t="s">
        <v>524</v>
      </c>
      <c r="C46" s="83" t="s">
        <v>525</v>
      </c>
      <c r="D46" s="101"/>
      <c r="E46" s="102"/>
      <c r="F46" s="84"/>
      <c r="G46" s="84"/>
      <c r="H46" s="84"/>
      <c r="I46" s="84"/>
      <c r="J46" s="84"/>
      <c r="K46" s="103"/>
      <c r="L46" s="103"/>
      <c r="M46" s="103"/>
      <c r="N46" s="103"/>
      <c r="O46" s="105"/>
      <c r="P46" s="104"/>
      <c r="Q46" s="103"/>
      <c r="R46" s="103"/>
      <c r="S46" s="103"/>
      <c r="T46" s="103"/>
      <c r="U46" s="105"/>
      <c r="V46" s="104"/>
      <c r="W46" s="103"/>
      <c r="X46" s="103"/>
      <c r="Y46" s="103"/>
      <c r="Z46" s="103"/>
      <c r="AA46" s="103"/>
      <c r="AB46" s="105"/>
      <c r="AC46" s="83"/>
      <c r="AD46" s="83"/>
    </row>
    <row r="47" spans="1:30" ht="12.5" x14ac:dyDescent="0.25">
      <c r="A47" s="83"/>
      <c r="B47" s="85" t="s">
        <v>532</v>
      </c>
      <c r="C47" s="83" t="s">
        <v>533</v>
      </c>
      <c r="D47" s="101"/>
      <c r="E47" s="102"/>
      <c r="F47" s="84"/>
      <c r="G47" s="84"/>
      <c r="H47" s="84"/>
      <c r="I47" s="84"/>
      <c r="J47" s="84"/>
      <c r="K47" s="103"/>
      <c r="L47" s="103"/>
      <c r="M47" s="103"/>
      <c r="N47" s="103"/>
      <c r="O47" s="105"/>
      <c r="P47" s="104"/>
      <c r="Q47" s="103"/>
      <c r="R47" s="103"/>
      <c r="S47" s="103"/>
      <c r="T47" s="103"/>
      <c r="U47" s="105"/>
      <c r="V47" s="104"/>
      <c r="W47" s="103"/>
      <c r="X47" s="103"/>
      <c r="Y47" s="103"/>
      <c r="Z47" s="103"/>
      <c r="AA47" s="103"/>
      <c r="AB47" s="105"/>
      <c r="AC47" s="83"/>
      <c r="AD47" s="83"/>
    </row>
    <row r="48" spans="1:30" ht="12.5" x14ac:dyDescent="0.25">
      <c r="A48" s="83"/>
      <c r="B48" s="85" t="s">
        <v>540</v>
      </c>
      <c r="C48" s="83" t="s">
        <v>541</v>
      </c>
      <c r="D48" s="101"/>
      <c r="E48" s="102"/>
      <c r="F48" s="84"/>
      <c r="G48" s="84"/>
      <c r="H48" s="84"/>
      <c r="I48" s="84"/>
      <c r="J48" s="84"/>
      <c r="K48" s="103"/>
      <c r="L48" s="103"/>
      <c r="M48" s="103"/>
      <c r="N48" s="103"/>
      <c r="O48" s="105"/>
      <c r="P48" s="104"/>
      <c r="Q48" s="103"/>
      <c r="R48" s="103"/>
      <c r="S48" s="103"/>
      <c r="T48" s="103"/>
      <c r="U48" s="105"/>
      <c r="V48" s="104"/>
      <c r="W48" s="103"/>
      <c r="X48" s="103"/>
      <c r="Y48" s="103"/>
      <c r="Z48" s="103"/>
      <c r="AA48" s="103"/>
      <c r="AB48" s="105"/>
      <c r="AC48" s="83"/>
      <c r="AD48" s="83"/>
    </row>
    <row r="49" spans="1:30" ht="12.5" x14ac:dyDescent="0.25">
      <c r="A49" s="83"/>
      <c r="B49" s="126" t="s">
        <v>580</v>
      </c>
      <c r="C49" s="127" t="s">
        <v>581</v>
      </c>
      <c r="D49" s="128"/>
      <c r="E49" s="129"/>
      <c r="F49" s="130"/>
      <c r="G49" s="130"/>
      <c r="H49" s="130"/>
      <c r="I49" s="130"/>
      <c r="J49" s="130"/>
      <c r="K49" s="119"/>
      <c r="L49" s="119"/>
      <c r="M49" s="119"/>
      <c r="N49" s="119"/>
      <c r="O49" s="131"/>
      <c r="P49" s="104"/>
      <c r="Q49" s="103"/>
      <c r="R49" s="103"/>
      <c r="S49" s="103"/>
      <c r="T49" s="103"/>
      <c r="U49" s="105"/>
      <c r="V49" s="104"/>
      <c r="W49" s="103"/>
      <c r="X49" s="103"/>
      <c r="Y49" s="103"/>
      <c r="Z49" s="103"/>
      <c r="AA49" s="103"/>
      <c r="AB49" s="105"/>
      <c r="AC49" s="83"/>
      <c r="AD49" s="83"/>
    </row>
  </sheetData>
  <hyperlinks>
    <hyperlink ref="B5" r:id="rId1" xr:uid="{3019DEB6-D8CA-4815-8BF6-407E9419A3F9}"/>
    <hyperlink ref="B13" r:id="rId2" xr:uid="{831B52E7-EF7A-4831-8425-59EAD7D0F934}"/>
    <hyperlink ref="B11" r:id="rId3" xr:uid="{BF4E9546-147A-4F10-92B1-A91E9292F4F6}"/>
    <hyperlink ref="B6" r:id="rId4" xr:uid="{8FE2D0E7-8B55-451A-A95B-7A06B5C1BDA4}"/>
    <hyperlink ref="B34" r:id="rId5" xr:uid="{AF3EBCC3-F32C-4B1E-8C8A-0ED2650C9EB0}"/>
    <hyperlink ref="B14" r:id="rId6" xr:uid="{C1A3BE0B-0C3D-40FB-B4F0-1BE34D12DC86}"/>
    <hyperlink ref="B7" r:id="rId7" xr:uid="{6F4FC9F3-1266-40EF-B7DC-C87EBFC917E2}"/>
    <hyperlink ref="B12" r:id="rId8" xr:uid="{A4E374A4-E9DE-40D2-BD26-49E8D76CD0BB}"/>
    <hyperlink ref="B10" r:id="rId9" xr:uid="{804F62F0-CB2F-4947-90F6-08BA9E5700C6}"/>
    <hyperlink ref="B9" r:id="rId10" display="Softbank Corp" xr:uid="{D42FE6F2-2EB7-4CF0-A20D-2680631A9E05}"/>
  </hyperlinks>
  <pageMargins left="0.7" right="0.7" top="0.75" bottom="0.75" header="0.3" footer="0.3"/>
  <pageSetup orientation="portrait"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0FE3-503A-448B-BE6E-F545711F1B98}">
  <dimension ref="A1:X104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25" bestFit="1" customWidth="1"/>
    <col min="2" max="2" width="13.453125" style="25" customWidth="1"/>
    <col min="3" max="3" width="11" style="25" customWidth="1"/>
    <col min="4" max="4" width="9.26953125" style="25" bestFit="1" customWidth="1"/>
    <col min="5" max="5" width="10" style="25" customWidth="1"/>
    <col min="6" max="6" width="9.26953125" style="25" bestFit="1" customWidth="1"/>
    <col min="7" max="7" width="10.1796875" style="25" customWidth="1"/>
    <col min="8" max="8" width="9.26953125" style="25" bestFit="1" customWidth="1"/>
    <col min="9" max="9" width="9.1796875" style="25"/>
    <col min="10" max="10" width="10.81640625" style="25" customWidth="1"/>
    <col min="11" max="13" width="9.26953125" style="25" bestFit="1" customWidth="1"/>
    <col min="14" max="14" width="10.453125" style="25" bestFit="1" customWidth="1"/>
    <col min="15" max="24" width="9.26953125" style="25" bestFit="1" customWidth="1"/>
    <col min="25" max="16384" width="9.1796875" style="25"/>
  </cols>
  <sheetData>
    <row r="1" spans="1:24" x14ac:dyDescent="0.25">
      <c r="A1" s="4" t="s">
        <v>142</v>
      </c>
      <c r="B1" s="83"/>
      <c r="C1" s="83"/>
      <c r="D1" s="83"/>
      <c r="E1" s="83" t="s">
        <v>251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</row>
    <row r="2" spans="1:24" x14ac:dyDescent="0.25">
      <c r="A2" s="83"/>
      <c r="B2" s="111" t="s">
        <v>0</v>
      </c>
      <c r="C2" s="112" t="s">
        <v>1</v>
      </c>
      <c r="D2" s="113" t="s">
        <v>2</v>
      </c>
      <c r="E2" s="114" t="s">
        <v>3</v>
      </c>
      <c r="F2" s="115" t="s">
        <v>4</v>
      </c>
      <c r="G2" s="115" t="s">
        <v>5</v>
      </c>
      <c r="H2" s="115" t="s">
        <v>211</v>
      </c>
      <c r="I2" s="115" t="s">
        <v>6</v>
      </c>
      <c r="J2" s="115" t="s">
        <v>222</v>
      </c>
      <c r="K2" s="116" t="s">
        <v>206</v>
      </c>
      <c r="L2" s="116" t="s">
        <v>210</v>
      </c>
      <c r="M2" s="116" t="s">
        <v>207</v>
      </c>
      <c r="N2" s="116" t="s">
        <v>208</v>
      </c>
      <c r="O2" s="117" t="s">
        <v>209</v>
      </c>
      <c r="P2" s="118" t="s">
        <v>227</v>
      </c>
      <c r="Q2" s="119" t="s">
        <v>228</v>
      </c>
      <c r="R2" s="119" t="s">
        <v>229</v>
      </c>
      <c r="S2" s="117">
        <v>2025</v>
      </c>
      <c r="T2" s="118" t="s">
        <v>226</v>
      </c>
      <c r="U2" s="116">
        <v>2023</v>
      </c>
      <c r="V2" s="116">
        <v>2024</v>
      </c>
      <c r="W2" s="117">
        <v>2025</v>
      </c>
      <c r="X2" s="83" t="s">
        <v>212</v>
      </c>
    </row>
    <row r="3" spans="1:24" x14ac:dyDescent="0.25">
      <c r="A3" s="83" t="s">
        <v>251</v>
      </c>
      <c r="B3" s="85" t="s">
        <v>9</v>
      </c>
      <c r="C3" s="83" t="s">
        <v>896</v>
      </c>
      <c r="D3" s="101"/>
      <c r="E3" s="102"/>
      <c r="F3" s="84"/>
      <c r="G3" s="84"/>
      <c r="H3" s="84"/>
      <c r="I3" s="84"/>
      <c r="J3" s="84"/>
      <c r="K3" s="103"/>
      <c r="L3" s="103"/>
      <c r="M3" s="103"/>
      <c r="N3" s="103"/>
      <c r="O3" s="105"/>
      <c r="P3" s="104"/>
      <c r="Q3" s="103"/>
      <c r="R3" s="103"/>
      <c r="S3" s="105"/>
      <c r="T3" s="104"/>
      <c r="U3" s="103"/>
      <c r="V3" s="103"/>
      <c r="W3" s="105"/>
      <c r="X3" s="83"/>
    </row>
    <row r="4" spans="1:24" x14ac:dyDescent="0.25">
      <c r="A4" s="83" t="s">
        <v>251</v>
      </c>
      <c r="B4" s="85" t="s">
        <v>7</v>
      </c>
      <c r="C4" s="83" t="s">
        <v>8</v>
      </c>
      <c r="D4" s="101"/>
      <c r="E4" s="102"/>
      <c r="F4" s="84"/>
      <c r="G4" s="84"/>
      <c r="H4" s="84"/>
      <c r="I4" s="84"/>
      <c r="J4" s="84"/>
      <c r="K4" s="103"/>
      <c r="L4" s="103"/>
      <c r="M4" s="103"/>
      <c r="N4" s="103"/>
      <c r="O4" s="105"/>
      <c r="P4" s="104"/>
      <c r="Q4" s="103"/>
      <c r="R4" s="103"/>
      <c r="S4" s="105"/>
      <c r="T4" s="104"/>
      <c r="U4" s="103"/>
      <c r="V4" s="103"/>
      <c r="W4" s="105"/>
      <c r="X4" s="83"/>
    </row>
    <row r="5" spans="1:24" s="11" customFormat="1" x14ac:dyDescent="0.25">
      <c r="A5" s="83" t="s">
        <v>251</v>
      </c>
      <c r="B5" s="30" t="s">
        <v>11</v>
      </c>
      <c r="C5" s="83" t="s">
        <v>12</v>
      </c>
      <c r="D5" s="101">
        <v>232.81</v>
      </c>
      <c r="E5" s="102">
        <f>+D5*[1]Main!$K$3</f>
        <v>2515744.86</v>
      </c>
      <c r="F5" s="102">
        <f>[1]Main!$K$5-[1]Main!$K$6</f>
        <v>42462</v>
      </c>
      <c r="G5" s="102">
        <f>+E5-F5</f>
        <v>2473282.86</v>
      </c>
      <c r="H5" s="102">
        <f>+[1]Main!$K$3</f>
        <v>10806</v>
      </c>
      <c r="I5" s="84" t="s">
        <v>738</v>
      </c>
      <c r="J5" s="86">
        <v>45918</v>
      </c>
      <c r="K5" s="121">
        <f>+[1]Model!$BZ$49</f>
        <v>0</v>
      </c>
      <c r="L5" s="107">
        <f>K5/D5-1</f>
        <v>-1</v>
      </c>
      <c r="M5" s="107">
        <f>+[1]Model!$BZ$45</f>
        <v>0.302776543093009</v>
      </c>
      <c r="N5" s="107">
        <f>+[1]Model!$BZ$47</f>
        <v>400778.14039390185</v>
      </c>
      <c r="O5" s="122">
        <f>+[1]Model!$BZ$46</f>
        <v>0</v>
      </c>
      <c r="P5" s="108">
        <f>+($G5/$H5)/T5</f>
        <v>11.361089862989624</v>
      </c>
      <c r="Q5" s="110">
        <f>+($G5/$H5)/U5</f>
        <v>9.9448860888180661</v>
      </c>
      <c r="R5" s="110">
        <f>+($G5/$H5)/V5</f>
        <v>5.4722733746046774</v>
      </c>
      <c r="S5" s="123">
        <f>+($G5/$H5)/W5</f>
        <v>37.109733645739979</v>
      </c>
      <c r="T5" s="124">
        <f>+[1]Model!$BO$33</f>
        <v>20.146000000000001</v>
      </c>
      <c r="U5" s="121">
        <f>+[1]Model!$BP$33</f>
        <v>23.014895729890764</v>
      </c>
      <c r="V5" s="121">
        <f>+[1]Model!$BQ$33</f>
        <v>41.825490196078434</v>
      </c>
      <c r="W5" s="125">
        <f>+[1]Model!$BR$33</f>
        <v>6.1676679914964412</v>
      </c>
      <c r="X5" s="83">
        <v>1994</v>
      </c>
    </row>
    <row r="6" spans="1:24" s="11" customFormat="1" x14ac:dyDescent="0.25">
      <c r="A6" s="83" t="s">
        <v>251</v>
      </c>
      <c r="B6" s="4" t="s">
        <v>23</v>
      </c>
      <c r="C6" s="83" t="s">
        <v>24</v>
      </c>
      <c r="D6" s="101">
        <v>301</v>
      </c>
      <c r="E6" s="102">
        <f>+D6*[2]Main!$G$3</f>
        <v>875609</v>
      </c>
      <c r="F6" s="102">
        <f>+[2]Main!$G$5-[2]Main!$G$6</f>
        <v>-80310</v>
      </c>
      <c r="G6" s="102">
        <f>+E6-F6</f>
        <v>955919</v>
      </c>
      <c r="H6" s="102">
        <f>+[2]Main!$G$3</f>
        <v>2909</v>
      </c>
      <c r="I6" s="84" t="s">
        <v>610</v>
      </c>
      <c r="J6" s="86">
        <v>45546</v>
      </c>
      <c r="K6" s="103"/>
      <c r="L6" s="103"/>
      <c r="M6" s="103"/>
      <c r="N6" s="103"/>
      <c r="O6" s="103"/>
      <c r="P6" s="104"/>
      <c r="Q6" s="103"/>
      <c r="R6" s="103"/>
      <c r="S6" s="105"/>
      <c r="T6" s="104"/>
      <c r="U6" s="103"/>
      <c r="V6" s="103"/>
      <c r="W6" s="105"/>
      <c r="X6" s="83">
        <v>1977</v>
      </c>
    </row>
    <row r="7" spans="1:24" x14ac:dyDescent="0.25">
      <c r="A7" s="83"/>
      <c r="B7" s="34" t="s">
        <v>148</v>
      </c>
      <c r="C7" s="83" t="s">
        <v>149</v>
      </c>
      <c r="D7" s="101">
        <v>174.69</v>
      </c>
      <c r="E7" s="102">
        <f>+D7*H7</f>
        <v>449127.99</v>
      </c>
      <c r="F7" s="102">
        <f>[3]Main!$L$5-[3]Main!$L$6</f>
        <v>6438</v>
      </c>
      <c r="G7" s="102">
        <f t="shared" ref="G7:G16" si="0">E7-F7</f>
        <v>442689.99</v>
      </c>
      <c r="H7" s="102">
        <f>+[3]Main!$L$3</f>
        <v>2571</v>
      </c>
      <c r="I7" s="84" t="s">
        <v>664</v>
      </c>
      <c r="J7" s="132">
        <v>45692</v>
      </c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</row>
    <row r="8" spans="1:24" s="11" customFormat="1" x14ac:dyDescent="0.25">
      <c r="A8" s="83" t="s">
        <v>251</v>
      </c>
      <c r="B8" s="4" t="s">
        <v>25</v>
      </c>
      <c r="C8" s="83" t="s">
        <v>25</v>
      </c>
      <c r="D8" s="101">
        <v>270.25</v>
      </c>
      <c r="E8" s="102">
        <f>+D8*H8</f>
        <v>314571</v>
      </c>
      <c r="F8" s="102">
        <f>+[4]Main!$L$5-[4]Main!$L$6</f>
        <v>11835</v>
      </c>
      <c r="G8" s="102">
        <f t="shared" si="0"/>
        <v>302736</v>
      </c>
      <c r="H8" s="102">
        <f>+[4]Main!$L$3</f>
        <v>1164</v>
      </c>
      <c r="I8" s="84" t="s">
        <v>610</v>
      </c>
      <c r="J8" s="86">
        <v>45701</v>
      </c>
      <c r="K8" s="103"/>
      <c r="L8" s="103"/>
      <c r="M8" s="103"/>
      <c r="N8" s="103"/>
      <c r="O8" s="103"/>
      <c r="P8" s="104"/>
      <c r="Q8" s="103"/>
      <c r="R8" s="103"/>
      <c r="S8" s="105"/>
      <c r="T8" s="104"/>
      <c r="U8" s="103"/>
      <c r="V8" s="103"/>
      <c r="W8" s="105"/>
      <c r="X8" s="83">
        <v>1972</v>
      </c>
    </row>
    <row r="9" spans="1:24" x14ac:dyDescent="0.25">
      <c r="A9" s="83" t="s">
        <v>251</v>
      </c>
      <c r="B9" s="4" t="s">
        <v>254</v>
      </c>
      <c r="C9" s="83" t="s">
        <v>254</v>
      </c>
      <c r="D9" s="133">
        <v>262.92</v>
      </c>
      <c r="E9" s="88">
        <f>D9*H9</f>
        <v>241886.40000000002</v>
      </c>
      <c r="F9" s="88">
        <f>[5]Main!$M$5-[5]Main!$M$6</f>
        <v>-38732</v>
      </c>
      <c r="G9" s="102">
        <f t="shared" si="0"/>
        <v>280618.40000000002</v>
      </c>
      <c r="H9" s="88">
        <f>[5]Main!$M$3</f>
        <v>920</v>
      </c>
      <c r="I9" s="84" t="s">
        <v>610</v>
      </c>
      <c r="J9" s="132">
        <v>45565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>
        <v>1911</v>
      </c>
    </row>
    <row r="10" spans="1:24" s="11" customFormat="1" x14ac:dyDescent="0.25">
      <c r="A10" s="83" t="s">
        <v>251</v>
      </c>
      <c r="B10" s="4" t="s">
        <v>21</v>
      </c>
      <c r="C10" s="83" t="s">
        <v>22</v>
      </c>
      <c r="D10" s="101">
        <v>246.62</v>
      </c>
      <c r="E10" s="102">
        <f>+D10*[6]Main!$M$3</f>
        <v>237248.44</v>
      </c>
      <c r="F10" s="102">
        <f>+[6]Main!$M$5-[6]Main!$M$6</f>
        <v>12021</v>
      </c>
      <c r="G10" s="102">
        <f t="shared" si="0"/>
        <v>225227.44</v>
      </c>
      <c r="H10" s="102">
        <f>+[6]Main!$M$3</f>
        <v>962</v>
      </c>
      <c r="I10" s="84" t="s">
        <v>610</v>
      </c>
      <c r="J10" s="86">
        <v>45555</v>
      </c>
      <c r="K10" s="121">
        <f>+[6]Model!$AE$65</f>
        <v>0</v>
      </c>
      <c r="L10" s="107">
        <f>+K10/D10-1</f>
        <v>-1</v>
      </c>
      <c r="M10" s="107">
        <f>+[6]Model!$AE$63</f>
        <v>0</v>
      </c>
      <c r="N10" s="107">
        <f>+[6]Model!$AE$62</f>
        <v>0</v>
      </c>
      <c r="O10" s="107">
        <v>0</v>
      </c>
      <c r="P10" s="104"/>
      <c r="Q10" s="103"/>
      <c r="R10" s="103"/>
      <c r="S10" s="105"/>
      <c r="T10" s="104"/>
      <c r="U10" s="103"/>
      <c r="V10" s="103"/>
      <c r="W10" s="105"/>
      <c r="X10" s="83">
        <v>1999</v>
      </c>
    </row>
    <row r="11" spans="1:24" s="11" customFormat="1" x14ac:dyDescent="0.25">
      <c r="A11" s="83" t="s">
        <v>251</v>
      </c>
      <c r="B11" s="4" t="s">
        <v>29</v>
      </c>
      <c r="C11" s="83" t="s">
        <v>30</v>
      </c>
      <c r="D11" s="101">
        <v>948.95</v>
      </c>
      <c r="E11" s="102">
        <f>+D11*[7]Main!$L$3</f>
        <v>197381.6</v>
      </c>
      <c r="F11" s="102">
        <f>+[7]Main!$L$5-[7]Main!$L$6</f>
        <v>7397</v>
      </c>
      <c r="G11" s="102">
        <f t="shared" si="0"/>
        <v>189984.6</v>
      </c>
      <c r="H11" s="102">
        <f>+[7]Main!$L$3</f>
        <v>208</v>
      </c>
      <c r="I11" s="84" t="s">
        <v>610</v>
      </c>
      <c r="J11" s="132">
        <v>45565</v>
      </c>
      <c r="K11" s="103"/>
      <c r="L11" s="103"/>
      <c r="M11" s="103"/>
      <c r="N11" s="103"/>
      <c r="O11" s="103"/>
      <c r="P11" s="104"/>
      <c r="Q11" s="103"/>
      <c r="R11" s="103"/>
      <c r="S11" s="105"/>
      <c r="T11" s="104"/>
      <c r="U11" s="103"/>
      <c r="V11" s="103"/>
      <c r="W11" s="105"/>
      <c r="X11" s="83">
        <v>2004</v>
      </c>
    </row>
    <row r="12" spans="1:24" x14ac:dyDescent="0.25">
      <c r="A12" s="83" t="s">
        <v>251</v>
      </c>
      <c r="B12" s="4" t="s">
        <v>44</v>
      </c>
      <c r="C12" s="83" t="s">
        <v>45</v>
      </c>
      <c r="D12" s="101">
        <v>220.13</v>
      </c>
      <c r="E12" s="102">
        <f>+D12*[8]Main!$M$3</f>
        <v>72863.03</v>
      </c>
      <c r="F12" s="102">
        <f>+[8]Main!$M$5-[8]Main!$M$6</f>
        <v>5027.4579999999996</v>
      </c>
      <c r="G12" s="102">
        <f t="shared" si="0"/>
        <v>67835.572</v>
      </c>
      <c r="H12" s="102">
        <f>+[8]Main!$M$3</f>
        <v>331</v>
      </c>
      <c r="I12" s="84" t="s">
        <v>14</v>
      </c>
      <c r="J12" s="132">
        <v>45728</v>
      </c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>
        <v>2012</v>
      </c>
    </row>
    <row r="13" spans="1:24" x14ac:dyDescent="0.25">
      <c r="A13" s="83" t="s">
        <v>251</v>
      </c>
      <c r="B13" s="4" t="s">
        <v>50</v>
      </c>
      <c r="C13" s="83" t="s">
        <v>51</v>
      </c>
      <c r="D13" s="101">
        <v>235.68</v>
      </c>
      <c r="E13" s="102">
        <f>+D13*H13</f>
        <v>63633.599999999999</v>
      </c>
      <c r="F13" s="102">
        <f>+[9]Main!$P$5-[9]Main!$P$6</f>
        <v>4985</v>
      </c>
      <c r="G13" s="102">
        <f t="shared" si="0"/>
        <v>58648.6</v>
      </c>
      <c r="H13" s="84">
        <f>+[9]Main!$P$3</f>
        <v>270</v>
      </c>
      <c r="I13" s="84" t="s">
        <v>610</v>
      </c>
      <c r="J13" s="86">
        <v>45565</v>
      </c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>
        <v>2005</v>
      </c>
    </row>
    <row r="14" spans="1:24" x14ac:dyDescent="0.25">
      <c r="A14" s="83" t="s">
        <v>251</v>
      </c>
      <c r="B14" s="4" t="s">
        <v>40</v>
      </c>
      <c r="C14" s="83" t="s">
        <v>41</v>
      </c>
      <c r="D14" s="101">
        <v>170.87</v>
      </c>
      <c r="E14" s="102">
        <f>+D14*[10]Main!$L$3</f>
        <v>44426.200000000004</v>
      </c>
      <c r="F14" s="102">
        <f>+[10]Main!$L$5-[10]Main!$L$6</f>
        <v>1576</v>
      </c>
      <c r="G14" s="102">
        <f t="shared" si="0"/>
        <v>42850.200000000004</v>
      </c>
      <c r="H14" s="102">
        <f>+[10]Main!$L$3</f>
        <v>260</v>
      </c>
      <c r="I14" s="84" t="s">
        <v>610</v>
      </c>
      <c r="J14" s="132">
        <v>45565</v>
      </c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>
        <v>2002</v>
      </c>
    </row>
    <row r="15" spans="1:24" x14ac:dyDescent="0.25">
      <c r="A15" s="83" t="s">
        <v>251</v>
      </c>
      <c r="B15" s="4" t="s">
        <v>52</v>
      </c>
      <c r="C15" s="83" t="s">
        <v>53</v>
      </c>
      <c r="D15" s="101">
        <v>136.93</v>
      </c>
      <c r="E15" s="102">
        <f t="shared" ref="E15:E21" si="1">+D15*H15</f>
        <v>46166.261015750009</v>
      </c>
      <c r="F15" s="88">
        <f>+[11]Main!$O$5-[11]Main!$O$6</f>
        <v>970</v>
      </c>
      <c r="G15" s="102">
        <f t="shared" si="0"/>
        <v>45196.261015750009</v>
      </c>
      <c r="H15" s="88">
        <f>+[11]Main!$O$3</f>
        <v>337.15227500000003</v>
      </c>
      <c r="I15" s="84" t="s">
        <v>198</v>
      </c>
      <c r="J15" s="132">
        <v>45783</v>
      </c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>
        <v>2010</v>
      </c>
    </row>
    <row r="16" spans="1:24" x14ac:dyDescent="0.25">
      <c r="A16" s="83"/>
      <c r="B16" s="4" t="s">
        <v>171</v>
      </c>
      <c r="C16" s="83" t="s">
        <v>172</v>
      </c>
      <c r="D16" s="101">
        <v>279.26</v>
      </c>
      <c r="E16" s="102">
        <f t="shared" si="1"/>
        <v>43242.5746163</v>
      </c>
      <c r="F16" s="102">
        <f>+[12]Main!$M$5-[12]Main!$M$6</f>
        <v>2838.5529999999999</v>
      </c>
      <c r="G16" s="102">
        <f t="shared" si="0"/>
        <v>40404.0216163</v>
      </c>
      <c r="H16" s="102">
        <f>+[12]Main!$M$3</f>
        <v>154.847005</v>
      </c>
      <c r="I16" s="84" t="s">
        <v>14</v>
      </c>
      <c r="J16" s="86">
        <v>45512</v>
      </c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>
        <v>2007</v>
      </c>
    </row>
    <row r="17" spans="1:24" s="11" customFormat="1" x14ac:dyDescent="0.25">
      <c r="A17" s="83" t="s">
        <v>251</v>
      </c>
      <c r="B17" s="30" t="s">
        <v>68</v>
      </c>
      <c r="C17" s="83" t="s">
        <v>69</v>
      </c>
      <c r="D17" s="101">
        <v>519.58000000000004</v>
      </c>
      <c r="E17" s="102">
        <f t="shared" si="1"/>
        <v>26679.829248040001</v>
      </c>
      <c r="F17" s="102">
        <f>+[13]Main!$K$5-[13]Main!$K$6</f>
        <v>1488.5009999999997</v>
      </c>
      <c r="G17" s="102">
        <f>+E17-F17</f>
        <v>25191.328248040001</v>
      </c>
      <c r="H17" s="102">
        <f>+[13]Main!$K$3</f>
        <v>51.348838000000001</v>
      </c>
      <c r="I17" s="84" t="s">
        <v>610</v>
      </c>
      <c r="J17" s="86">
        <v>45587</v>
      </c>
      <c r="K17" s="103"/>
      <c r="L17" s="103"/>
      <c r="M17" s="103"/>
      <c r="N17" s="103"/>
      <c r="O17" s="105"/>
      <c r="P17" s="104"/>
      <c r="Q17" s="103"/>
      <c r="R17" s="103"/>
      <c r="S17" s="105"/>
      <c r="T17" s="104"/>
      <c r="U17" s="103"/>
      <c r="V17" s="103"/>
      <c r="W17" s="105"/>
      <c r="X17" s="83">
        <v>2006</v>
      </c>
    </row>
    <row r="18" spans="1:24" s="11" customFormat="1" x14ac:dyDescent="0.25">
      <c r="A18" s="83" t="s">
        <v>251</v>
      </c>
      <c r="B18" s="4" t="s">
        <v>182</v>
      </c>
      <c r="C18" s="83" t="s">
        <v>183</v>
      </c>
      <c r="D18" s="101">
        <v>315.52</v>
      </c>
      <c r="E18" s="102">
        <f t="shared" si="1"/>
        <v>23348.48</v>
      </c>
      <c r="F18" s="102">
        <f>+[14]Main!$J$5-[14]Main!$J$6</f>
        <v>1177</v>
      </c>
      <c r="G18" s="102">
        <f>+E18-F18</f>
        <v>22171.48</v>
      </c>
      <c r="H18" s="102">
        <f>+[14]Main!$J$3</f>
        <v>74</v>
      </c>
      <c r="I18" s="84" t="s">
        <v>651</v>
      </c>
      <c r="J18" s="86">
        <v>45636</v>
      </c>
      <c r="K18" s="103"/>
      <c r="L18" s="103"/>
      <c r="M18" s="103"/>
      <c r="N18" s="103"/>
      <c r="O18" s="105"/>
      <c r="P18" s="104"/>
      <c r="Q18" s="103"/>
      <c r="R18" s="103"/>
      <c r="S18" s="105"/>
      <c r="T18" s="104"/>
      <c r="U18" s="103"/>
      <c r="V18" s="103"/>
      <c r="W18" s="105"/>
      <c r="X18" s="83">
        <v>2007</v>
      </c>
    </row>
    <row r="19" spans="1:24" x14ac:dyDescent="0.25">
      <c r="A19" s="83" t="s">
        <v>251</v>
      </c>
      <c r="B19" s="30" t="s">
        <v>191</v>
      </c>
      <c r="C19" s="83" t="s">
        <v>192</v>
      </c>
      <c r="D19" s="101">
        <v>77.08</v>
      </c>
      <c r="E19" s="102">
        <f t="shared" si="1"/>
        <v>11586.475674879999</v>
      </c>
      <c r="F19" s="88">
        <f>+[15]Main!$K$5-[15]Main!$K$6</f>
        <v>-1673.636</v>
      </c>
      <c r="G19" s="88">
        <f>+E19-F19</f>
        <v>13260.11167488</v>
      </c>
      <c r="H19" s="88">
        <f>+[15]Main!$K$3</f>
        <v>150.31753599999999</v>
      </c>
      <c r="I19" s="84" t="s">
        <v>664</v>
      </c>
      <c r="J19" s="132">
        <v>45719</v>
      </c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</row>
    <row r="20" spans="1:24" s="11" customFormat="1" x14ac:dyDescent="0.25">
      <c r="A20" s="83" t="s">
        <v>251</v>
      </c>
      <c r="B20" s="34" t="s">
        <v>189</v>
      </c>
      <c r="C20" s="83" t="s">
        <v>190</v>
      </c>
      <c r="D20" s="101">
        <v>92.26</v>
      </c>
      <c r="E20" s="102">
        <f t="shared" si="1"/>
        <v>15671.47328656</v>
      </c>
      <c r="F20" s="102">
        <f>+[16]Main!$K$5-[16]Main!$K$6</f>
        <v>1245</v>
      </c>
      <c r="G20" s="102">
        <f>+E20-F20</f>
        <v>14426.47328656</v>
      </c>
      <c r="H20" s="102">
        <f>+[16]Main!$K$3</f>
        <v>169.862056</v>
      </c>
      <c r="I20" s="84" t="s">
        <v>651</v>
      </c>
      <c r="J20" s="86">
        <v>45653</v>
      </c>
      <c r="K20" s="103"/>
      <c r="L20" s="103"/>
      <c r="M20" s="103"/>
      <c r="N20" s="103"/>
      <c r="O20" s="103"/>
      <c r="P20" s="104"/>
      <c r="Q20" s="103"/>
      <c r="R20" s="103"/>
      <c r="S20" s="105"/>
      <c r="T20" s="104"/>
      <c r="U20" s="103"/>
      <c r="V20" s="103"/>
      <c r="W20" s="105"/>
      <c r="X20" s="83">
        <v>2009</v>
      </c>
    </row>
    <row r="21" spans="1:24" x14ac:dyDescent="0.25">
      <c r="A21" s="83" t="s">
        <v>251</v>
      </c>
      <c r="B21" s="4" t="s">
        <v>293</v>
      </c>
      <c r="C21" s="83" t="s">
        <v>175</v>
      </c>
      <c r="D21" s="101">
        <v>86.53</v>
      </c>
      <c r="E21" s="102">
        <f t="shared" si="1"/>
        <v>26633.00077395</v>
      </c>
      <c r="F21" s="102">
        <f>+[17]Main!$J$5-[17]Main!$J$6</f>
        <v>7958.5609999999997</v>
      </c>
      <c r="G21" s="102">
        <f>E21-F21</f>
        <v>18674.439773949998</v>
      </c>
      <c r="H21" s="102">
        <f>+[17]Main!$J$3</f>
        <v>307.78921500000001</v>
      </c>
      <c r="I21" s="84" t="s">
        <v>610</v>
      </c>
      <c r="J21" s="86">
        <v>45555</v>
      </c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>
        <v>2011</v>
      </c>
    </row>
    <row r="22" spans="1:24" s="11" customFormat="1" x14ac:dyDescent="0.25">
      <c r="A22" s="83" t="s">
        <v>251</v>
      </c>
      <c r="B22" s="83" t="s">
        <v>66</v>
      </c>
      <c r="C22" s="83" t="s">
        <v>67</v>
      </c>
      <c r="D22" s="101">
        <v>86.31</v>
      </c>
      <c r="E22" s="102">
        <v>18840</v>
      </c>
      <c r="F22" s="84"/>
      <c r="G22" s="84"/>
      <c r="H22" s="84"/>
      <c r="I22" s="84"/>
      <c r="J22" s="84"/>
      <c r="K22" s="103"/>
      <c r="L22" s="103"/>
      <c r="M22" s="103"/>
      <c r="N22" s="103"/>
      <c r="O22" s="105"/>
      <c r="P22" s="104"/>
      <c r="Q22" s="103"/>
      <c r="R22" s="103"/>
      <c r="S22" s="105"/>
      <c r="T22" s="104"/>
      <c r="U22" s="103"/>
      <c r="V22" s="103"/>
      <c r="W22" s="105"/>
      <c r="X22" s="83">
        <v>2003</v>
      </c>
    </row>
    <row r="23" spans="1:24" s="11" customFormat="1" x14ac:dyDescent="0.25">
      <c r="A23" s="83"/>
      <c r="B23" s="4" t="s">
        <v>390</v>
      </c>
      <c r="C23" s="83" t="s">
        <v>496</v>
      </c>
      <c r="D23" s="101">
        <v>20.07</v>
      </c>
      <c r="E23" s="102">
        <f>+H23*D23</f>
        <v>6477.0606249299999</v>
      </c>
      <c r="F23" s="102">
        <f>+[18]Main!$J$5-[18]Main!$J$6</f>
        <v>840.96199999999999</v>
      </c>
      <c r="G23" s="102">
        <f>+E23-F23</f>
        <v>5636.0986249300004</v>
      </c>
      <c r="H23" s="102">
        <f>+[18]Main!$J$3</f>
        <v>322.723499</v>
      </c>
      <c r="I23" s="84" t="s">
        <v>610</v>
      </c>
      <c r="J23" s="86">
        <v>45578</v>
      </c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83"/>
    </row>
    <row r="24" spans="1:24" x14ac:dyDescent="0.25">
      <c r="A24" s="83"/>
      <c r="B24" s="83" t="s">
        <v>383</v>
      </c>
      <c r="C24" s="83" t="s">
        <v>384</v>
      </c>
      <c r="D24" s="83">
        <v>10.88</v>
      </c>
      <c r="E24" s="88">
        <v>3000</v>
      </c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</row>
    <row r="25" spans="1:24" x14ac:dyDescent="0.25">
      <c r="A25" s="83"/>
      <c r="B25" s="85" t="s">
        <v>94</v>
      </c>
      <c r="C25" s="83" t="s">
        <v>95</v>
      </c>
      <c r="D25" s="101">
        <v>48.85</v>
      </c>
      <c r="E25" s="102">
        <v>12660</v>
      </c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</row>
    <row r="26" spans="1:24" x14ac:dyDescent="0.25">
      <c r="A26" s="83" t="s">
        <v>251</v>
      </c>
      <c r="B26" s="85" t="s">
        <v>93</v>
      </c>
      <c r="C26" s="83" t="s">
        <v>93</v>
      </c>
      <c r="D26" s="101">
        <v>150.38999999999999</v>
      </c>
      <c r="E26" s="102">
        <v>12990</v>
      </c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</row>
    <row r="27" spans="1:24" x14ac:dyDescent="0.25">
      <c r="A27" s="83" t="s">
        <v>251</v>
      </c>
      <c r="B27" s="85" t="s">
        <v>99</v>
      </c>
      <c r="C27" s="83" t="s">
        <v>100</v>
      </c>
      <c r="D27" s="101">
        <v>37.46</v>
      </c>
      <c r="E27" s="102">
        <v>11000</v>
      </c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</row>
    <row r="28" spans="1:24" x14ac:dyDescent="0.25">
      <c r="A28" s="83"/>
      <c r="B28" s="83" t="s">
        <v>424</v>
      </c>
      <c r="C28" s="83" t="s">
        <v>425</v>
      </c>
      <c r="D28" s="101">
        <v>96.62</v>
      </c>
      <c r="E28" s="102"/>
      <c r="F28" s="102"/>
      <c r="G28" s="102"/>
      <c r="H28" s="102"/>
      <c r="I28" s="84"/>
      <c r="J28" s="132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</row>
    <row r="29" spans="1:24" x14ac:dyDescent="0.25">
      <c r="A29" s="83"/>
      <c r="B29" s="83" t="s">
        <v>714</v>
      </c>
      <c r="C29" s="83" t="s">
        <v>715</v>
      </c>
      <c r="D29" s="101">
        <v>310</v>
      </c>
      <c r="E29" s="102">
        <v>21700</v>
      </c>
      <c r="F29" s="102"/>
      <c r="G29" s="102"/>
      <c r="H29" s="102"/>
      <c r="I29" s="84"/>
      <c r="J29" s="132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</row>
    <row r="30" spans="1:24" x14ac:dyDescent="0.25">
      <c r="A30" s="83"/>
      <c r="B30" s="83" t="s">
        <v>422</v>
      </c>
      <c r="C30" s="83" t="s">
        <v>423</v>
      </c>
      <c r="D30" s="101"/>
      <c r="E30" s="102"/>
      <c r="F30" s="88"/>
      <c r="G30" s="102"/>
      <c r="H30" s="88"/>
      <c r="I30" s="84"/>
      <c r="J30" s="132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</row>
    <row r="31" spans="1:24" x14ac:dyDescent="0.25">
      <c r="A31" s="83"/>
      <c r="B31" s="85" t="s">
        <v>501</v>
      </c>
      <c r="C31" s="83" t="s">
        <v>502</v>
      </c>
      <c r="D31" s="106">
        <v>202.08</v>
      </c>
      <c r="E31" s="102">
        <v>10300</v>
      </c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</row>
    <row r="32" spans="1:24" x14ac:dyDescent="0.25">
      <c r="A32" s="83"/>
      <c r="B32" s="85" t="s">
        <v>494</v>
      </c>
      <c r="C32" s="83" t="s">
        <v>495</v>
      </c>
      <c r="D32" s="101"/>
      <c r="E32" s="102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</row>
    <row r="33" spans="1:24" x14ac:dyDescent="0.25">
      <c r="A33" s="83"/>
      <c r="B33" s="85" t="s">
        <v>503</v>
      </c>
      <c r="C33" s="83" t="s">
        <v>504</v>
      </c>
      <c r="D33" s="101"/>
      <c r="E33" s="102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</row>
    <row r="34" spans="1:24" x14ac:dyDescent="0.25">
      <c r="A34" s="83"/>
      <c r="B34" s="85" t="s">
        <v>111</v>
      </c>
      <c r="C34" s="83" t="s">
        <v>112</v>
      </c>
      <c r="D34" s="101">
        <v>14.73</v>
      </c>
      <c r="E34" s="102">
        <v>9140</v>
      </c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</row>
    <row r="35" spans="1:24" x14ac:dyDescent="0.25">
      <c r="A35" s="83" t="s">
        <v>251</v>
      </c>
      <c r="B35" s="83" t="s">
        <v>430</v>
      </c>
      <c r="C35" s="83" t="s">
        <v>431</v>
      </c>
      <c r="D35" s="101"/>
      <c r="E35" s="102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</row>
    <row r="36" spans="1:24" x14ac:dyDescent="0.25">
      <c r="A36" s="83"/>
      <c r="B36" s="83" t="s">
        <v>432</v>
      </c>
      <c r="C36" s="83" t="s">
        <v>433</v>
      </c>
      <c r="D36" s="101"/>
      <c r="E36" s="102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</row>
    <row r="37" spans="1:24" x14ac:dyDescent="0.25">
      <c r="A37" s="83"/>
      <c r="B37" s="83" t="s">
        <v>434</v>
      </c>
      <c r="C37" s="83" t="s">
        <v>89</v>
      </c>
      <c r="D37" s="101"/>
      <c r="E37" s="102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</row>
    <row r="38" spans="1:24" x14ac:dyDescent="0.25">
      <c r="A38" s="83"/>
      <c r="B38" s="83" t="s">
        <v>901</v>
      </c>
      <c r="C38" s="83" t="s">
        <v>902</v>
      </c>
      <c r="D38" s="101"/>
      <c r="E38" s="102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</row>
    <row r="39" spans="1:24" x14ac:dyDescent="0.25">
      <c r="A39" s="83"/>
      <c r="B39" s="83" t="s">
        <v>899</v>
      </c>
      <c r="C39" s="83" t="s">
        <v>900</v>
      </c>
      <c r="D39" s="101"/>
      <c r="E39" s="102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</row>
    <row r="40" spans="1:24" x14ac:dyDescent="0.25">
      <c r="A40" s="83" t="s">
        <v>251</v>
      </c>
      <c r="B40" s="85" t="s">
        <v>185</v>
      </c>
      <c r="C40" s="83" t="s">
        <v>186</v>
      </c>
      <c r="D40" s="101">
        <v>87.46</v>
      </c>
      <c r="E40" s="102">
        <v>16020</v>
      </c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</row>
    <row r="41" spans="1:24" x14ac:dyDescent="0.25">
      <c r="A41" s="83"/>
      <c r="B41" s="85" t="s">
        <v>720</v>
      </c>
      <c r="C41" s="83" t="s">
        <v>419</v>
      </c>
      <c r="D41" s="101"/>
      <c r="E41" s="102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</row>
    <row r="42" spans="1:24" s="11" customFormat="1" x14ac:dyDescent="0.25">
      <c r="A42" s="83" t="s">
        <v>251</v>
      </c>
      <c r="B42" s="85" t="s">
        <v>123</v>
      </c>
      <c r="C42" s="83" t="s">
        <v>124</v>
      </c>
      <c r="D42" s="101">
        <v>78.3</v>
      </c>
      <c r="E42" s="102">
        <v>7580</v>
      </c>
      <c r="F42" s="84"/>
      <c r="G42" s="84"/>
      <c r="H42" s="84"/>
      <c r="I42" s="84"/>
      <c r="J42" s="84"/>
      <c r="K42" s="103"/>
      <c r="L42" s="103"/>
      <c r="M42" s="103"/>
      <c r="N42" s="103"/>
      <c r="O42" s="105"/>
      <c r="P42" s="104"/>
      <c r="Q42" s="103"/>
      <c r="R42" s="103"/>
      <c r="S42" s="105"/>
      <c r="T42" s="104"/>
      <c r="U42" s="103"/>
      <c r="V42" s="103"/>
      <c r="W42" s="105"/>
      <c r="X42" s="83">
        <v>2012</v>
      </c>
    </row>
    <row r="43" spans="1:24" s="11" customFormat="1" x14ac:dyDescent="0.25">
      <c r="A43" s="83" t="s">
        <v>251</v>
      </c>
      <c r="B43" s="83" t="s">
        <v>485</v>
      </c>
      <c r="C43" s="83" t="s">
        <v>486</v>
      </c>
      <c r="D43" s="101"/>
      <c r="E43" s="102"/>
      <c r="F43" s="84"/>
      <c r="G43" s="84"/>
      <c r="H43" s="84"/>
      <c r="I43" s="84"/>
      <c r="J43" s="84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83"/>
    </row>
    <row r="44" spans="1:24" s="11" customFormat="1" x14ac:dyDescent="0.25">
      <c r="A44" s="83"/>
      <c r="B44" s="83" t="s">
        <v>489</v>
      </c>
      <c r="C44" s="83" t="s">
        <v>91</v>
      </c>
      <c r="D44" s="101"/>
      <c r="E44" s="102"/>
      <c r="F44" s="84"/>
      <c r="G44" s="84"/>
      <c r="H44" s="84"/>
      <c r="I44" s="84"/>
      <c r="J44" s="84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83"/>
    </row>
    <row r="45" spans="1:24" s="11" customFormat="1" x14ac:dyDescent="0.25">
      <c r="A45" s="83"/>
      <c r="B45" s="4" t="s">
        <v>574</v>
      </c>
      <c r="C45" s="83" t="s">
        <v>575</v>
      </c>
      <c r="D45" s="101">
        <v>32.659999999999997</v>
      </c>
      <c r="E45" s="102">
        <f>+D45*H45</f>
        <v>3319.1307980999995</v>
      </c>
      <c r="F45" s="102">
        <f>+[19]Main!$M$5-[19]Main!$M$6</f>
        <v>487.66099999999994</v>
      </c>
      <c r="G45" s="102">
        <f>+E45-F45</f>
        <v>2831.4697980999995</v>
      </c>
      <c r="H45" s="102">
        <f>+[19]Main!$M$3</f>
        <v>101.626785</v>
      </c>
      <c r="I45" s="84" t="s">
        <v>610</v>
      </c>
      <c r="J45" s="86">
        <v>45560</v>
      </c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83"/>
    </row>
    <row r="46" spans="1:24" s="11" customFormat="1" x14ac:dyDescent="0.25">
      <c r="A46" s="83"/>
      <c r="B46" s="4" t="s">
        <v>558</v>
      </c>
      <c r="C46" s="83" t="s">
        <v>559</v>
      </c>
      <c r="D46" s="101">
        <v>11.1</v>
      </c>
      <c r="E46" s="102">
        <f>+D46*H46</f>
        <v>3353.2079243999997</v>
      </c>
      <c r="F46" s="102">
        <f>+[20]Main!$H$5-[20]Main!$H$6</f>
        <v>1019.114</v>
      </c>
      <c r="G46" s="102">
        <f>+E46-F46</f>
        <v>2334.0939243999997</v>
      </c>
      <c r="H46" s="102">
        <f>+[20]Main!$H$3</f>
        <v>302.09080399999999</v>
      </c>
      <c r="I46" s="84" t="s">
        <v>610</v>
      </c>
      <c r="J46" s="86">
        <v>45560</v>
      </c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83"/>
    </row>
    <row r="47" spans="1:24" s="11" customFormat="1" x14ac:dyDescent="0.25">
      <c r="A47" s="83"/>
      <c r="B47" s="4" t="s">
        <v>576</v>
      </c>
      <c r="C47" s="83" t="s">
        <v>577</v>
      </c>
      <c r="D47" s="101">
        <v>27.26</v>
      </c>
      <c r="E47" s="102">
        <f>+D47*H47</f>
        <v>1998.6214199999999</v>
      </c>
      <c r="F47" s="102">
        <f>+[21]Main!$K$5-[21]Main!$K$6</f>
        <v>-11.827999999999975</v>
      </c>
      <c r="G47" s="102">
        <f>+E47-F47</f>
        <v>2010.4494199999999</v>
      </c>
      <c r="H47" s="102">
        <f>+[21]Main!$K$3</f>
        <v>73.316999999999993</v>
      </c>
      <c r="I47" s="84" t="s">
        <v>610</v>
      </c>
      <c r="J47" s="86">
        <v>45566</v>
      </c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83"/>
    </row>
    <row r="48" spans="1:24" s="11" customFormat="1" x14ac:dyDescent="0.25">
      <c r="A48" s="83"/>
      <c r="B48" s="4" t="s">
        <v>687</v>
      </c>
      <c r="C48" s="83" t="s">
        <v>688</v>
      </c>
      <c r="D48" s="101">
        <v>6.84</v>
      </c>
      <c r="E48" s="102">
        <f>+D48*H48</f>
        <v>959.65200000000004</v>
      </c>
      <c r="F48" s="102">
        <f>+[22]Main!$M$5-[22]Main!$M$6</f>
        <v>-36.250999999999976</v>
      </c>
      <c r="G48" s="102">
        <f>+E48-F48</f>
        <v>995.90300000000002</v>
      </c>
      <c r="H48" s="102">
        <f>+[22]Main!$M$3</f>
        <v>140.30000000000001</v>
      </c>
      <c r="I48" s="84" t="s">
        <v>651</v>
      </c>
      <c r="J48" s="86">
        <v>45719</v>
      </c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83"/>
    </row>
    <row r="49" spans="1:24" s="11" customFormat="1" x14ac:dyDescent="0.25">
      <c r="A49" s="83"/>
      <c r="B49" s="4" t="s">
        <v>611</v>
      </c>
      <c r="C49" s="83" t="s">
        <v>611</v>
      </c>
      <c r="D49" s="101">
        <v>13.22</v>
      </c>
      <c r="E49" s="102">
        <f>+D49*H49</f>
        <v>5412.6671779000008</v>
      </c>
      <c r="F49" s="102">
        <f>+[23]Main!$J$5-[23]Main!$J$6</f>
        <v>4999</v>
      </c>
      <c r="G49" s="102">
        <f>+E49-F49</f>
        <v>413.66717790000075</v>
      </c>
      <c r="H49" s="102">
        <f>+[23]Main!$J$3</f>
        <v>409.43019500000003</v>
      </c>
      <c r="I49" s="84" t="s">
        <v>610</v>
      </c>
      <c r="J49" s="86">
        <v>45540</v>
      </c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83"/>
    </row>
    <row r="50" spans="1:24" s="11" customFormat="1" x14ac:dyDescent="0.25">
      <c r="A50" s="83"/>
      <c r="B50" s="83" t="s">
        <v>490</v>
      </c>
      <c r="C50" s="83" t="s">
        <v>491</v>
      </c>
      <c r="D50" s="101"/>
      <c r="E50" s="102"/>
      <c r="F50" s="84"/>
      <c r="G50" s="84"/>
      <c r="H50" s="84"/>
      <c r="I50" s="84"/>
      <c r="J50" s="84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83"/>
    </row>
    <row r="51" spans="1:24" s="11" customFormat="1" x14ac:dyDescent="0.25">
      <c r="A51" s="83"/>
      <c r="B51" s="83" t="s">
        <v>493</v>
      </c>
      <c r="C51" s="83" t="s">
        <v>492</v>
      </c>
      <c r="D51" s="101"/>
      <c r="E51" s="102"/>
      <c r="F51" s="84"/>
      <c r="G51" s="84"/>
      <c r="H51" s="84"/>
      <c r="I51" s="84"/>
      <c r="J51" s="84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83"/>
    </row>
    <row r="52" spans="1:24" s="11" customFormat="1" x14ac:dyDescent="0.25">
      <c r="A52" s="83"/>
      <c r="B52" s="83" t="s">
        <v>507</v>
      </c>
      <c r="C52" s="83" t="s">
        <v>508</v>
      </c>
      <c r="D52" s="101"/>
      <c r="E52" s="102"/>
      <c r="F52" s="84"/>
      <c r="G52" s="84"/>
      <c r="H52" s="84"/>
      <c r="I52" s="84"/>
      <c r="J52" s="84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83"/>
    </row>
    <row r="53" spans="1:24" s="11" customFormat="1" x14ac:dyDescent="0.25">
      <c r="A53" s="83"/>
      <c r="B53" s="83" t="s">
        <v>510</v>
      </c>
      <c r="C53" s="83" t="s">
        <v>511</v>
      </c>
      <c r="D53" s="101"/>
      <c r="E53" s="102"/>
      <c r="F53" s="84"/>
      <c r="G53" s="84"/>
      <c r="H53" s="84"/>
      <c r="I53" s="84"/>
      <c r="J53" s="84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83"/>
    </row>
    <row r="54" spans="1:24" s="11" customFormat="1" x14ac:dyDescent="0.25">
      <c r="A54" s="83"/>
      <c r="B54" s="83" t="s">
        <v>516</v>
      </c>
      <c r="C54" s="83" t="s">
        <v>517</v>
      </c>
      <c r="D54" s="101"/>
      <c r="E54" s="102"/>
      <c r="F54" s="84"/>
      <c r="G54" s="84"/>
      <c r="H54" s="84"/>
      <c r="I54" s="84"/>
      <c r="J54" s="84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83"/>
    </row>
    <row r="55" spans="1:24" s="11" customFormat="1" x14ac:dyDescent="0.25">
      <c r="A55" s="83" t="s">
        <v>251</v>
      </c>
      <c r="B55" s="83" t="s">
        <v>518</v>
      </c>
      <c r="C55" s="83" t="s">
        <v>519</v>
      </c>
      <c r="D55" s="101"/>
      <c r="E55" s="102"/>
      <c r="F55" s="84"/>
      <c r="G55" s="84"/>
      <c r="H55" s="84"/>
      <c r="I55" s="84"/>
      <c r="J55" s="84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83"/>
    </row>
    <row r="56" spans="1:24" s="11" customFormat="1" x14ac:dyDescent="0.25">
      <c r="A56" s="83" t="s">
        <v>251</v>
      </c>
      <c r="B56" s="83" t="s">
        <v>522</v>
      </c>
      <c r="C56" s="83" t="s">
        <v>523</v>
      </c>
      <c r="D56" s="101"/>
      <c r="E56" s="102"/>
      <c r="F56" s="84"/>
      <c r="G56" s="84"/>
      <c r="H56" s="84"/>
      <c r="I56" s="84"/>
      <c r="J56" s="84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83"/>
    </row>
    <row r="57" spans="1:24" s="11" customFormat="1" x14ac:dyDescent="0.25">
      <c r="A57" s="83"/>
      <c r="B57" s="83" t="s">
        <v>536</v>
      </c>
      <c r="C57" s="83" t="s">
        <v>537</v>
      </c>
      <c r="D57" s="101"/>
      <c r="E57" s="102"/>
      <c r="F57" s="84"/>
      <c r="G57" s="84"/>
      <c r="H57" s="84"/>
      <c r="I57" s="84"/>
      <c r="J57" s="84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83"/>
    </row>
    <row r="58" spans="1:24" s="11" customFormat="1" x14ac:dyDescent="0.25">
      <c r="A58" s="83"/>
      <c r="B58" s="83" t="s">
        <v>542</v>
      </c>
      <c r="C58" s="83" t="s">
        <v>543</v>
      </c>
      <c r="D58" s="106">
        <v>31.04</v>
      </c>
      <c r="E58" s="102"/>
      <c r="F58" s="84"/>
      <c r="G58" s="84"/>
      <c r="H58" s="84"/>
      <c r="I58" s="84"/>
      <c r="J58" s="84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83"/>
    </row>
    <row r="59" spans="1:24" s="11" customFormat="1" x14ac:dyDescent="0.25">
      <c r="A59" s="83"/>
      <c r="B59" s="83" t="s">
        <v>743</v>
      </c>
      <c r="C59" s="83" t="s">
        <v>913</v>
      </c>
      <c r="D59" s="106"/>
      <c r="E59" s="102"/>
      <c r="F59" s="84"/>
      <c r="G59" s="84"/>
      <c r="H59" s="84"/>
      <c r="I59" s="84"/>
      <c r="J59" s="84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83"/>
    </row>
    <row r="60" spans="1:24" s="11" customFormat="1" x14ac:dyDescent="0.25">
      <c r="A60" s="83"/>
      <c r="B60" s="83" t="s">
        <v>544</v>
      </c>
      <c r="C60" s="83" t="s">
        <v>545</v>
      </c>
      <c r="D60" s="101"/>
      <c r="E60" s="102"/>
      <c r="F60" s="84"/>
      <c r="G60" s="84"/>
      <c r="H60" s="84"/>
      <c r="I60" s="84"/>
      <c r="J60" s="84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83"/>
    </row>
    <row r="61" spans="1:24" s="11" customFormat="1" x14ac:dyDescent="0.25">
      <c r="A61" s="83"/>
      <c r="B61" s="83" t="s">
        <v>560</v>
      </c>
      <c r="C61" s="83" t="s">
        <v>561</v>
      </c>
      <c r="D61" s="101"/>
      <c r="E61" s="102"/>
      <c r="F61" s="84"/>
      <c r="G61" s="84"/>
      <c r="H61" s="84"/>
      <c r="I61" s="84"/>
      <c r="J61" s="84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83"/>
    </row>
    <row r="62" spans="1:24" s="11" customFormat="1" x14ac:dyDescent="0.25">
      <c r="A62" s="83"/>
      <c r="B62" s="83" t="s">
        <v>562</v>
      </c>
      <c r="C62" s="83" t="s">
        <v>563</v>
      </c>
      <c r="D62" s="101"/>
      <c r="E62" s="102"/>
      <c r="F62" s="84"/>
      <c r="G62" s="84"/>
      <c r="H62" s="84"/>
      <c r="I62" s="84"/>
      <c r="J62" s="84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83"/>
    </row>
    <row r="63" spans="1:24" s="11" customFormat="1" x14ac:dyDescent="0.25">
      <c r="A63" s="83" t="s">
        <v>251</v>
      </c>
      <c r="B63" s="83" t="s">
        <v>564</v>
      </c>
      <c r="C63" s="83" t="s">
        <v>565</v>
      </c>
      <c r="D63" s="101"/>
      <c r="E63" s="102"/>
      <c r="F63" s="84"/>
      <c r="G63" s="84"/>
      <c r="H63" s="84"/>
      <c r="I63" s="84"/>
      <c r="J63" s="84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83"/>
    </row>
    <row r="64" spans="1:24" s="11" customFormat="1" x14ac:dyDescent="0.25">
      <c r="A64" s="83" t="s">
        <v>251</v>
      </c>
      <c r="B64" s="83" t="s">
        <v>570</v>
      </c>
      <c r="C64" s="83" t="s">
        <v>571</v>
      </c>
      <c r="D64" s="101"/>
      <c r="E64" s="102"/>
      <c r="F64" s="84"/>
      <c r="G64" s="84"/>
      <c r="H64" s="84"/>
      <c r="I64" s="84"/>
      <c r="J64" s="84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83"/>
    </row>
    <row r="65" spans="1:24" s="11" customFormat="1" x14ac:dyDescent="0.25">
      <c r="A65" s="83"/>
      <c r="B65" s="83" t="s">
        <v>572</v>
      </c>
      <c r="C65" s="83" t="s">
        <v>573</v>
      </c>
      <c r="D65" s="101"/>
      <c r="E65" s="102"/>
      <c r="F65" s="84"/>
      <c r="G65" s="84"/>
      <c r="H65" s="84"/>
      <c r="I65" s="84"/>
      <c r="J65" s="84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83"/>
    </row>
    <row r="66" spans="1:24" s="11" customFormat="1" x14ac:dyDescent="0.25">
      <c r="A66" s="83" t="s">
        <v>251</v>
      </c>
      <c r="B66" s="83" t="s">
        <v>915</v>
      </c>
      <c r="C66" s="83" t="s">
        <v>916</v>
      </c>
      <c r="D66" s="101"/>
      <c r="E66" s="102"/>
      <c r="F66" s="84"/>
      <c r="G66" s="84"/>
      <c r="H66" s="84"/>
      <c r="I66" s="84"/>
      <c r="J66" s="84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83"/>
    </row>
    <row r="67" spans="1:24" s="11" customFormat="1" x14ac:dyDescent="0.25">
      <c r="A67" s="83" t="s">
        <v>251</v>
      </c>
      <c r="B67" s="83" t="s">
        <v>917</v>
      </c>
      <c r="C67" s="83" t="s">
        <v>918</v>
      </c>
      <c r="D67" s="101"/>
      <c r="E67" s="102"/>
      <c r="F67" s="84"/>
      <c r="G67" s="84"/>
      <c r="H67" s="84"/>
      <c r="I67" s="84"/>
      <c r="J67" s="84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83"/>
    </row>
    <row r="68" spans="1:24" s="11" customFormat="1" x14ac:dyDescent="0.25">
      <c r="A68" s="83"/>
      <c r="B68" s="83" t="s">
        <v>578</v>
      </c>
      <c r="C68" s="83" t="s">
        <v>579</v>
      </c>
      <c r="D68" s="101"/>
      <c r="E68" s="102"/>
      <c r="F68" s="84"/>
      <c r="G68" s="84"/>
      <c r="H68" s="84"/>
      <c r="I68" s="84"/>
      <c r="J68" s="84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83"/>
    </row>
    <row r="69" spans="1:24" s="11" customFormat="1" x14ac:dyDescent="0.25">
      <c r="A69" s="83"/>
      <c r="B69" s="83" t="s">
        <v>584</v>
      </c>
      <c r="C69" s="83" t="s">
        <v>585</v>
      </c>
      <c r="D69" s="101"/>
      <c r="E69" s="102"/>
      <c r="F69" s="84"/>
      <c r="G69" s="84"/>
      <c r="H69" s="84"/>
      <c r="I69" s="84"/>
      <c r="J69" s="84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83"/>
    </row>
    <row r="70" spans="1:24" s="11" customFormat="1" x14ac:dyDescent="0.25">
      <c r="A70" s="83"/>
      <c r="B70" s="83" t="s">
        <v>586</v>
      </c>
      <c r="C70" s="83" t="s">
        <v>587</v>
      </c>
      <c r="D70" s="101"/>
      <c r="E70" s="102"/>
      <c r="F70" s="84"/>
      <c r="G70" s="84"/>
      <c r="H70" s="84"/>
      <c r="I70" s="84"/>
      <c r="J70" s="84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83"/>
    </row>
    <row r="71" spans="1:24" s="11" customFormat="1" x14ac:dyDescent="0.25">
      <c r="A71" s="83"/>
      <c r="B71" s="4" t="s">
        <v>616</v>
      </c>
      <c r="C71" s="83" t="s">
        <v>617</v>
      </c>
      <c r="D71" s="101">
        <v>17.32</v>
      </c>
      <c r="E71" s="102">
        <f>+D71*H71</f>
        <v>7061.1266813600005</v>
      </c>
      <c r="F71" s="102">
        <f>+[24]Main!$M$5-[24]Main!$M$6</f>
        <v>230.34</v>
      </c>
      <c r="G71" s="102">
        <f>+E71-F71</f>
        <v>6830.7866813600003</v>
      </c>
      <c r="H71" s="102">
        <f>+[24]Main!$M$3</f>
        <v>407.68629800000002</v>
      </c>
      <c r="I71" s="84" t="s">
        <v>771</v>
      </c>
      <c r="J71" s="86">
        <v>45922</v>
      </c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83"/>
    </row>
    <row r="72" spans="1:24" s="11" customFormat="1" x14ac:dyDescent="0.25">
      <c r="A72" s="83"/>
      <c r="B72" s="83" t="s">
        <v>588</v>
      </c>
      <c r="C72" s="83" t="s">
        <v>589</v>
      </c>
      <c r="D72" s="101"/>
      <c r="E72" s="102"/>
      <c r="F72" s="84"/>
      <c r="G72" s="84"/>
      <c r="H72" s="84"/>
      <c r="I72" s="84"/>
      <c r="J72" s="84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83"/>
    </row>
    <row r="73" spans="1:24" s="11" customFormat="1" x14ac:dyDescent="0.25">
      <c r="A73" s="83"/>
      <c r="B73" s="83" t="s">
        <v>598</v>
      </c>
      <c r="C73" s="83" t="s">
        <v>599</v>
      </c>
      <c r="D73" s="101"/>
      <c r="E73" s="102"/>
      <c r="F73" s="84"/>
      <c r="G73" s="84"/>
      <c r="H73" s="84"/>
      <c r="I73" s="84"/>
      <c r="J73" s="84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83"/>
    </row>
    <row r="74" spans="1:24" s="11" customFormat="1" x14ac:dyDescent="0.25">
      <c r="A74" s="83"/>
      <c r="B74" s="83" t="s">
        <v>602</v>
      </c>
      <c r="C74" s="83" t="s">
        <v>603</v>
      </c>
      <c r="D74" s="101"/>
      <c r="E74" s="102"/>
      <c r="F74" s="84"/>
      <c r="G74" s="84"/>
      <c r="H74" s="84"/>
      <c r="I74" s="84"/>
      <c r="J74" s="84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83"/>
    </row>
    <row r="75" spans="1:24" s="11" customFormat="1" x14ac:dyDescent="0.25">
      <c r="A75" s="83"/>
      <c r="B75" s="83" t="s">
        <v>604</v>
      </c>
      <c r="C75" s="83" t="s">
        <v>605</v>
      </c>
      <c r="D75" s="101"/>
      <c r="E75" s="102"/>
      <c r="F75" s="84"/>
      <c r="G75" s="84"/>
      <c r="H75" s="84"/>
      <c r="I75" s="84"/>
      <c r="J75" s="84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83"/>
    </row>
    <row r="76" spans="1:24" s="11" customFormat="1" x14ac:dyDescent="0.25">
      <c r="A76" s="83"/>
      <c r="B76" s="83" t="s">
        <v>606</v>
      </c>
      <c r="C76" s="83" t="s">
        <v>607</v>
      </c>
      <c r="D76" s="101"/>
      <c r="E76" s="102"/>
      <c r="F76" s="84"/>
      <c r="G76" s="84"/>
      <c r="H76" s="84"/>
      <c r="I76" s="84"/>
      <c r="J76" s="84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83"/>
    </row>
    <row r="77" spans="1:24" s="11" customFormat="1" x14ac:dyDescent="0.25">
      <c r="A77" s="83"/>
      <c r="B77" s="83" t="s">
        <v>653</v>
      </c>
      <c r="C77" s="83" t="s">
        <v>654</v>
      </c>
      <c r="D77" s="101"/>
      <c r="E77" s="102"/>
      <c r="F77" s="84"/>
      <c r="G77" s="84"/>
      <c r="H77" s="84"/>
      <c r="I77" s="84"/>
      <c r="J77" s="84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83"/>
    </row>
    <row r="78" spans="1:24" s="11" customFormat="1" x14ac:dyDescent="0.25">
      <c r="A78" s="83"/>
      <c r="B78" s="83" t="s">
        <v>660</v>
      </c>
      <c r="C78" s="83" t="s">
        <v>659</v>
      </c>
      <c r="D78" s="106">
        <v>16.86</v>
      </c>
      <c r="E78" s="102"/>
      <c r="F78" s="84"/>
      <c r="G78" s="84"/>
      <c r="H78" s="84"/>
      <c r="I78" s="84"/>
      <c r="J78" s="84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83"/>
    </row>
    <row r="79" spans="1:24" s="11" customFormat="1" x14ac:dyDescent="0.25">
      <c r="A79" s="83"/>
      <c r="B79" s="4" t="s">
        <v>663</v>
      </c>
      <c r="C79" s="83" t="s">
        <v>769</v>
      </c>
      <c r="D79" s="106">
        <v>21.14</v>
      </c>
      <c r="E79" s="102">
        <f>+D79*H79</f>
        <v>5019.6498955400002</v>
      </c>
      <c r="F79" s="84"/>
      <c r="G79" s="102">
        <f>+E79-F79</f>
        <v>5019.6498955400002</v>
      </c>
      <c r="H79" s="102">
        <f>+[25]Main!$O$3</f>
        <v>237.44796100000002</v>
      </c>
      <c r="I79" s="84" t="s">
        <v>651</v>
      </c>
      <c r="J79" s="86">
        <v>45660</v>
      </c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83"/>
    </row>
    <row r="80" spans="1:24" s="11" customFormat="1" ht="14.5" x14ac:dyDescent="0.35">
      <c r="A80"/>
      <c r="B80" s="52"/>
      <c r="C80" s="52"/>
      <c r="D80" s="12"/>
      <c r="E80" s="13"/>
      <c r="F80" s="14"/>
      <c r="G80" s="14"/>
      <c r="H80" s="14"/>
      <c r="I80" s="14"/>
      <c r="J80" s="14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9" ht="14.5" x14ac:dyDescent="0.35">
      <c r="A81"/>
      <c r="B81" s="28" t="s">
        <v>246</v>
      </c>
      <c r="I81" s="37" t="s">
        <v>212</v>
      </c>
    </row>
    <row r="82" spans="1:9" ht="14.5" x14ac:dyDescent="0.35">
      <c r="A82"/>
      <c r="B82" s="37" t="s">
        <v>391</v>
      </c>
      <c r="E82" s="25">
        <v>30000</v>
      </c>
      <c r="I82" s="48" t="s">
        <v>448</v>
      </c>
    </row>
    <row r="83" spans="1:9" ht="14.5" x14ac:dyDescent="0.35">
      <c r="A83"/>
      <c r="B83" s="37" t="s">
        <v>392</v>
      </c>
      <c r="E83" s="25">
        <v>10000</v>
      </c>
      <c r="F83" s="37" t="s">
        <v>394</v>
      </c>
      <c r="G83" s="37" t="s">
        <v>393</v>
      </c>
      <c r="H83" s="37" t="s">
        <v>395</v>
      </c>
      <c r="I83" s="25">
        <v>2013</v>
      </c>
    </row>
    <row r="84" spans="1:9" ht="14.5" x14ac:dyDescent="0.35">
      <c r="A84"/>
      <c r="B84" s="37" t="s">
        <v>120</v>
      </c>
      <c r="E84" s="25">
        <v>10000</v>
      </c>
      <c r="F84" s="37"/>
      <c r="G84" s="37"/>
      <c r="H84" s="37"/>
    </row>
    <row r="85" spans="1:9" ht="14.5" x14ac:dyDescent="0.35">
      <c r="A85"/>
      <c r="B85" s="46" t="s">
        <v>98</v>
      </c>
      <c r="E85" s="25">
        <v>12000</v>
      </c>
    </row>
    <row r="86" spans="1:9" ht="14.5" x14ac:dyDescent="0.35">
      <c r="A86"/>
      <c r="B86" s="27" t="s">
        <v>273</v>
      </c>
      <c r="E86" s="25">
        <v>107</v>
      </c>
    </row>
    <row r="87" spans="1:9" ht="14.5" x14ac:dyDescent="0.35">
      <c r="A87"/>
    </row>
    <row r="88" spans="1:9" ht="14.5" x14ac:dyDescent="0.35">
      <c r="A88"/>
    </row>
    <row r="89" spans="1:9" ht="14.5" x14ac:dyDescent="0.35">
      <c r="A89"/>
    </row>
    <row r="90" spans="1:9" ht="14.5" x14ac:dyDescent="0.35">
      <c r="A90"/>
    </row>
    <row r="91" spans="1:9" ht="14.5" x14ac:dyDescent="0.35">
      <c r="A91"/>
    </row>
    <row r="92" spans="1:9" ht="14.5" x14ac:dyDescent="0.35">
      <c r="A92"/>
    </row>
    <row r="93" spans="1:9" ht="14.5" x14ac:dyDescent="0.35">
      <c r="A93"/>
    </row>
    <row r="94" spans="1:9" ht="14.5" x14ac:dyDescent="0.35">
      <c r="A94"/>
    </row>
    <row r="95" spans="1:9" ht="14.5" x14ac:dyDescent="0.35">
      <c r="A95"/>
    </row>
    <row r="96" spans="1:9" ht="14.5" x14ac:dyDescent="0.35">
      <c r="A96"/>
    </row>
    <row r="97" spans="1:1" ht="14.5" x14ac:dyDescent="0.35">
      <c r="A97"/>
    </row>
    <row r="98" spans="1:1" ht="14.5" x14ac:dyDescent="0.35">
      <c r="A98"/>
    </row>
    <row r="99" spans="1:1" ht="14.5" x14ac:dyDescent="0.35">
      <c r="A99"/>
    </row>
    <row r="100" spans="1:1" ht="14.5" x14ac:dyDescent="0.35">
      <c r="A100"/>
    </row>
    <row r="101" spans="1:1" ht="14.5" x14ac:dyDescent="0.35">
      <c r="A101"/>
    </row>
    <row r="102" spans="1:1" ht="14.5" x14ac:dyDescent="0.35">
      <c r="A102"/>
    </row>
    <row r="103" spans="1:1" ht="14.5" x14ac:dyDescent="0.35">
      <c r="A103"/>
    </row>
    <row r="104" spans="1:1" ht="14.5" x14ac:dyDescent="0.35">
      <c r="A104"/>
    </row>
  </sheetData>
  <hyperlinks>
    <hyperlink ref="A1" location="Main!A1" display="Main" xr:uid="{0503292A-659C-4A72-B97D-834713EC5785}"/>
    <hyperlink ref="B6" r:id="rId1" xr:uid="{8490DBEA-18EF-431F-AAE9-5080FB55647A}"/>
    <hyperlink ref="B10" r:id="rId2" xr:uid="{82160796-EF8E-4F69-8090-C97619BD3BC8}"/>
    <hyperlink ref="B8" r:id="rId3" xr:uid="{2964D309-6110-46D1-A6FF-CEF55CE8C8F6}"/>
    <hyperlink ref="B11" r:id="rId4" xr:uid="{BEBE7C2C-69F7-4F68-A1A3-433A555515CF}"/>
    <hyperlink ref="B14" r:id="rId5" xr:uid="{1647F4E6-0995-4C11-AEA1-85BE3B2789D3}"/>
    <hyperlink ref="B13" r:id="rId6" xr:uid="{11F6BC32-0B71-4C3C-92D4-6F1D15C6FCA5}"/>
    <hyperlink ref="B12" r:id="rId7" xr:uid="{BF5095B8-6956-4116-AD45-B06C94DC5EDF}"/>
    <hyperlink ref="B20" r:id="rId8" xr:uid="{1147CFA9-6647-443A-9626-FE00F78AE9FF}"/>
    <hyperlink ref="B15" r:id="rId9" xr:uid="{EE794379-CBE0-4BE4-963F-4A3EB8F86626}"/>
    <hyperlink ref="B16" r:id="rId10" xr:uid="{6424F2CF-2B61-4808-95C3-62B06E9F6361}"/>
    <hyperlink ref="B5" r:id="rId11" xr:uid="{D0A6A308-9256-4523-8FDF-BCE2AFB11B6E}"/>
    <hyperlink ref="B7" r:id="rId12" xr:uid="{5A1A0BF1-1F9D-453A-8615-32812BE41A68}"/>
    <hyperlink ref="B9" r:id="rId13" xr:uid="{8D7A6B6F-FFD2-4631-8D7D-1F8872005ED8}"/>
    <hyperlink ref="B21" r:id="rId14" xr:uid="{7E0DDDDE-643F-4D04-A9C8-5DCDC34BD7D2}"/>
    <hyperlink ref="B18" r:id="rId15" xr:uid="{C5C4C2F7-8284-467F-B226-D3648D0474B9}"/>
    <hyperlink ref="B46" r:id="rId16" xr:uid="{1913E089-D60B-4075-AB2C-B7B51D7DF108}"/>
    <hyperlink ref="B49" r:id="rId17" xr:uid="{16D30B47-CCE4-4C35-8F34-A4749495953D}"/>
    <hyperlink ref="B45" r:id="rId18" xr:uid="{6BBC6A3D-8C3C-4E31-9B81-B5DA45B7EED5}"/>
    <hyperlink ref="B47" r:id="rId19" xr:uid="{3E26AFD5-6B18-496F-AFD2-64E8C33867DE}"/>
    <hyperlink ref="B71" r:id="rId20" xr:uid="{CA9AC6C7-5B31-49C6-B7CB-6AE0C43C17AC}"/>
    <hyperlink ref="B23" r:id="rId21" xr:uid="{9BF011A7-6EB1-4794-9AB5-FABB84B25463}"/>
    <hyperlink ref="B17" r:id="rId22" xr:uid="{44789C06-1AED-43B3-9AE3-EAEA984BD6A5}"/>
    <hyperlink ref="B79" r:id="rId23" xr:uid="{998EA7B8-0FE8-409C-A7BB-79630EE8D2E9}"/>
    <hyperlink ref="B48" r:id="rId24" xr:uid="{E9EB6E20-09D4-4DD4-9845-B31967F0A575}"/>
    <hyperlink ref="B19" r:id="rId25" xr:uid="{FF6D23C5-89D1-4005-9328-EC69DC3BC4EB}"/>
  </hyperlinks>
  <pageMargins left="0.7" right="0.7" top="0.75" bottom="0.75" header="0.3" footer="0.3"/>
  <pageSetup orientation="portrait" horizontalDpi="1200" verticalDpi="1200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58CA-3A5E-4A8C-A323-FDAA45D59D23}">
  <dimension ref="A1:AE6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83" bestFit="1" customWidth="1"/>
    <col min="2" max="2" width="12" style="83" customWidth="1"/>
    <col min="3" max="3" width="11.7265625" style="83" customWidth="1"/>
    <col min="4" max="4" width="9.1796875" style="83"/>
    <col min="5" max="5" width="11.36328125" style="83" customWidth="1"/>
    <col min="6" max="6" width="9.1796875" style="83"/>
    <col min="7" max="7" width="10.90625" style="83" bestFit="1" customWidth="1"/>
    <col min="8" max="9" width="9.1796875" style="83"/>
    <col min="10" max="10" width="10.81640625" style="83" customWidth="1"/>
    <col min="11" max="15" width="9.1796875" style="83"/>
    <col min="16" max="28" width="6.54296875" style="83" customWidth="1"/>
    <col min="29" max="16384" width="9.1796875" style="83"/>
  </cols>
  <sheetData>
    <row r="1" spans="1:31" x14ac:dyDescent="0.25">
      <c r="A1" s="4" t="s">
        <v>142</v>
      </c>
    </row>
    <row r="2" spans="1:31" x14ac:dyDescent="0.25">
      <c r="B2" s="111" t="s">
        <v>0</v>
      </c>
      <c r="C2" s="112" t="s">
        <v>1</v>
      </c>
      <c r="D2" s="113" t="s">
        <v>2</v>
      </c>
      <c r="E2" s="114" t="s">
        <v>3</v>
      </c>
      <c r="F2" s="115" t="s">
        <v>4</v>
      </c>
      <c r="G2" s="115" t="s">
        <v>5</v>
      </c>
      <c r="H2" s="115" t="s">
        <v>211</v>
      </c>
      <c r="I2" s="115" t="s">
        <v>6</v>
      </c>
      <c r="J2" s="115" t="s">
        <v>222</v>
      </c>
      <c r="K2" s="116" t="s">
        <v>206</v>
      </c>
      <c r="L2" s="116" t="s">
        <v>210</v>
      </c>
      <c r="M2" s="116" t="s">
        <v>207</v>
      </c>
      <c r="N2" s="116" t="s">
        <v>208</v>
      </c>
      <c r="O2" s="117" t="s">
        <v>209</v>
      </c>
      <c r="P2" s="118" t="s">
        <v>227</v>
      </c>
      <c r="Q2" s="119" t="s">
        <v>228</v>
      </c>
      <c r="R2" s="119" t="s">
        <v>229</v>
      </c>
      <c r="S2" s="117">
        <v>2025</v>
      </c>
      <c r="T2" s="116">
        <v>2026</v>
      </c>
      <c r="U2" s="116">
        <v>2027</v>
      </c>
      <c r="V2" s="116">
        <v>2028</v>
      </c>
      <c r="W2" s="118" t="s">
        <v>226</v>
      </c>
      <c r="X2" s="116">
        <v>2023</v>
      </c>
      <c r="Y2" s="116">
        <v>2024</v>
      </c>
      <c r="Z2" s="117">
        <v>2025</v>
      </c>
      <c r="AA2" s="103">
        <v>2026</v>
      </c>
      <c r="AB2" s="103">
        <v>2027</v>
      </c>
      <c r="AC2" s="83" t="s">
        <v>212</v>
      </c>
      <c r="AD2" s="83" t="s">
        <v>413</v>
      </c>
      <c r="AE2" s="83" t="s">
        <v>414</v>
      </c>
    </row>
    <row r="3" spans="1:31" x14ac:dyDescent="0.25">
      <c r="A3" s="83" t="s">
        <v>251</v>
      </c>
      <c r="B3" s="4" t="s">
        <v>13</v>
      </c>
      <c r="C3" s="83" t="s">
        <v>193</v>
      </c>
      <c r="D3" s="101">
        <v>605</v>
      </c>
      <c r="E3" s="102">
        <f>+D3*[34]Main!$M$3</f>
        <v>1604186.94777</v>
      </c>
      <c r="F3" s="102">
        <f>+[34]Main!$M$5-[34]Main!$M$6</f>
        <v>38382</v>
      </c>
      <c r="G3" s="102">
        <f t="shared" ref="G3:G4" si="0">+E3-F3</f>
        <v>1565804.94777</v>
      </c>
      <c r="H3" s="102">
        <f>+[34]Main!$M$3</f>
        <v>2651.5486740000001</v>
      </c>
      <c r="I3" s="84" t="s">
        <v>895</v>
      </c>
      <c r="J3" s="86">
        <v>46147</v>
      </c>
      <c r="K3" s="121"/>
      <c r="L3" s="107">
        <f>K3/D3-1</f>
        <v>-1</v>
      </c>
      <c r="M3" s="107">
        <f>+[34]Model!$AX$50</f>
        <v>0.08</v>
      </c>
      <c r="N3" s="107">
        <f>+[34]Model!$AX$51</f>
        <v>-0.05</v>
      </c>
      <c r="O3" s="107">
        <f>+[34]Model!$AX$52</f>
        <v>0.02</v>
      </c>
      <c r="P3" s="104"/>
      <c r="Q3" s="110">
        <f>($G3/$H3)/X3</f>
        <v>39.7124872807766</v>
      </c>
      <c r="R3" s="110">
        <f>($G3/$H3)/Y3</f>
        <v>24.74956772276396</v>
      </c>
      <c r="S3" s="110">
        <f>($G3/$H3)/Z3</f>
        <v>25.139407657094427</v>
      </c>
      <c r="T3" s="110">
        <f>($G3/$H3)/AA3</f>
        <v>18.540806463583927</v>
      </c>
      <c r="U3" s="110">
        <f>($G3/$H3)/AB3</f>
        <v>16.920478105018571</v>
      </c>
      <c r="V3" s="110"/>
      <c r="W3" s="104"/>
      <c r="X3" s="121">
        <v>14.87</v>
      </c>
      <c r="Y3" s="121">
        <v>23.86</v>
      </c>
      <c r="Z3" s="125">
        <v>23.49</v>
      </c>
      <c r="AA3" s="121">
        <v>31.85</v>
      </c>
      <c r="AB3" s="121">
        <v>34.9</v>
      </c>
      <c r="AC3" s="83">
        <v>2004</v>
      </c>
      <c r="AD3" s="83">
        <v>3810</v>
      </c>
      <c r="AE3" s="133">
        <f>G3/AD3</f>
        <v>410.97242723622048</v>
      </c>
    </row>
    <row r="4" spans="1:31" x14ac:dyDescent="0.25">
      <c r="A4" s="83" t="s">
        <v>251</v>
      </c>
      <c r="B4" s="4" t="s">
        <v>15</v>
      </c>
      <c r="C4" s="83" t="s">
        <v>16</v>
      </c>
      <c r="D4" s="101">
        <v>472.2</v>
      </c>
      <c r="E4" s="102">
        <f>+D4*[35]Main!$L$3/HKD</f>
        <v>547224.56623098673</v>
      </c>
      <c r="F4" s="102">
        <f>([35]Main!$L$5-[35]Main!$L$6)/HKD</f>
        <v>9502.4077046548955</v>
      </c>
      <c r="G4" s="102">
        <f t="shared" si="0"/>
        <v>537722.15852633188</v>
      </c>
      <c r="H4" s="102">
        <f>+[35]Main!$L$3</f>
        <v>9097</v>
      </c>
      <c r="I4" s="84" t="s">
        <v>198</v>
      </c>
      <c r="J4" s="86">
        <v>44802</v>
      </c>
      <c r="K4" s="103"/>
      <c r="L4" s="103"/>
      <c r="M4" s="103"/>
      <c r="N4" s="103"/>
      <c r="O4" s="103"/>
      <c r="P4" s="104"/>
      <c r="Q4" s="103"/>
      <c r="R4" s="103"/>
      <c r="S4" s="105"/>
      <c r="T4" s="103"/>
      <c r="U4" s="103"/>
      <c r="V4" s="103"/>
      <c r="W4" s="104"/>
      <c r="X4" s="103"/>
      <c r="Y4" s="103"/>
      <c r="Z4" s="105"/>
      <c r="AA4" s="103"/>
      <c r="AB4" s="103"/>
      <c r="AC4" s="83">
        <v>1998</v>
      </c>
    </row>
    <row r="5" spans="1:31" x14ac:dyDescent="0.25">
      <c r="B5" s="29" t="s">
        <v>278</v>
      </c>
      <c r="C5" s="83" t="s">
        <v>279</v>
      </c>
      <c r="D5" s="101"/>
      <c r="E5" s="102"/>
      <c r="F5" s="102"/>
      <c r="G5" s="102"/>
      <c r="H5" s="102"/>
      <c r="I5" s="84"/>
      <c r="J5" s="84"/>
      <c r="K5" s="103"/>
      <c r="L5" s="103"/>
      <c r="M5" s="103"/>
      <c r="N5" s="103"/>
      <c r="O5" s="103"/>
      <c r="P5" s="104"/>
      <c r="Q5" s="103"/>
      <c r="R5" s="103"/>
      <c r="S5" s="105"/>
      <c r="T5" s="103"/>
      <c r="U5" s="103"/>
      <c r="V5" s="103"/>
      <c r="W5" s="104"/>
      <c r="X5" s="103"/>
      <c r="Y5" s="103"/>
      <c r="Z5" s="105"/>
      <c r="AA5" s="103"/>
      <c r="AB5" s="103"/>
      <c r="AC5" s="83">
        <v>2011</v>
      </c>
    </row>
    <row r="6" spans="1:31" x14ac:dyDescent="0.25">
      <c r="A6" s="83" t="s">
        <v>251</v>
      </c>
      <c r="B6" s="83" t="s">
        <v>326</v>
      </c>
      <c r="C6" s="83" t="s">
        <v>327</v>
      </c>
      <c r="D6" s="101"/>
      <c r="E6" s="102"/>
      <c r="F6" s="84"/>
      <c r="G6" s="84"/>
      <c r="H6" s="84"/>
      <c r="I6" s="84"/>
      <c r="J6" s="84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83">
        <v>2010</v>
      </c>
    </row>
    <row r="7" spans="1:31" x14ac:dyDescent="0.25">
      <c r="A7" s="83" t="s">
        <v>251</v>
      </c>
      <c r="B7" s="34" t="s">
        <v>296</v>
      </c>
      <c r="C7" s="83" t="s">
        <v>297</v>
      </c>
      <c r="D7" s="102">
        <v>193500</v>
      </c>
      <c r="E7" s="102">
        <v>33330</v>
      </c>
      <c r="F7" s="102"/>
      <c r="G7" s="102">
        <f>E7-F7</f>
        <v>33330</v>
      </c>
      <c r="H7" s="102"/>
      <c r="I7" s="84"/>
      <c r="J7" s="86"/>
      <c r="K7" s="103"/>
      <c r="L7" s="103"/>
      <c r="M7" s="103"/>
      <c r="N7" s="103"/>
      <c r="O7" s="105"/>
      <c r="P7" s="104"/>
      <c r="Q7" s="103"/>
      <c r="R7" s="103"/>
      <c r="S7" s="105"/>
      <c r="T7" s="103"/>
      <c r="U7" s="103"/>
      <c r="V7" s="103"/>
      <c r="W7" s="104"/>
      <c r="X7" s="103"/>
      <c r="Y7" s="103"/>
      <c r="Z7" s="105"/>
      <c r="AA7" s="103"/>
      <c r="AB7" s="103"/>
      <c r="AC7" s="83">
        <v>1999</v>
      </c>
    </row>
    <row r="8" spans="1:31" x14ac:dyDescent="0.25">
      <c r="A8" s="83" t="s">
        <v>251</v>
      </c>
      <c r="B8" s="34" t="s">
        <v>371</v>
      </c>
      <c r="C8" s="83" t="s">
        <v>372</v>
      </c>
      <c r="D8" s="101">
        <v>11.28</v>
      </c>
      <c r="E8" s="102">
        <f>+D8*H8</f>
        <v>18758.64</v>
      </c>
      <c r="F8" s="102">
        <f>+[36]Main!$L$5-[36]Main!$L$6</f>
        <v>-449.19900000000007</v>
      </c>
      <c r="G8" s="102">
        <f>E8-F8</f>
        <v>19207.839</v>
      </c>
      <c r="H8" s="102">
        <f>+[36]Main!$L$3</f>
        <v>1663</v>
      </c>
      <c r="I8" s="84" t="s">
        <v>651</v>
      </c>
      <c r="J8" s="86">
        <v>45639</v>
      </c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D8" s="83">
        <v>375</v>
      </c>
      <c r="AE8" s="133">
        <f>G8/AD8</f>
        <v>51.220903999999997</v>
      </c>
    </row>
    <row r="9" spans="1:31" x14ac:dyDescent="0.25">
      <c r="A9" s="83" t="s">
        <v>251</v>
      </c>
      <c r="B9" s="83" t="s">
        <v>276</v>
      </c>
      <c r="C9" s="83" t="s">
        <v>277</v>
      </c>
      <c r="D9" s="101"/>
      <c r="E9" s="102"/>
      <c r="F9" s="84"/>
      <c r="G9" s="84"/>
      <c r="H9" s="84"/>
      <c r="I9" s="84"/>
      <c r="J9" s="84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83">
        <v>2008</v>
      </c>
    </row>
    <row r="10" spans="1:31" x14ac:dyDescent="0.25">
      <c r="B10" s="83" t="s">
        <v>280</v>
      </c>
      <c r="C10" s="83" t="s">
        <v>281</v>
      </c>
      <c r="D10" s="101"/>
      <c r="E10" s="102"/>
      <c r="F10" s="84"/>
      <c r="G10" s="84"/>
      <c r="H10" s="84"/>
      <c r="I10" s="84"/>
      <c r="J10" s="84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83">
        <v>2009</v>
      </c>
    </row>
    <row r="11" spans="1:31" x14ac:dyDescent="0.25">
      <c r="A11" s="83" t="s">
        <v>251</v>
      </c>
      <c r="B11" s="4" t="s">
        <v>76</v>
      </c>
      <c r="C11" s="83" t="s">
        <v>77</v>
      </c>
      <c r="D11" s="101">
        <v>46</v>
      </c>
      <c r="E11" s="102">
        <f>+D11*H11</f>
        <v>32752</v>
      </c>
      <c r="F11" s="102">
        <f>+[37]Main!$L$5-[37]Main!$L$6</f>
        <v>5157</v>
      </c>
      <c r="G11" s="102">
        <f>+E11-F11</f>
        <v>27595</v>
      </c>
      <c r="H11" s="102">
        <f>+[37]Main!$L$3</f>
        <v>712</v>
      </c>
      <c r="I11" s="84" t="s">
        <v>610</v>
      </c>
      <c r="J11" s="86">
        <v>45804</v>
      </c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</row>
    <row r="12" spans="1:31" x14ac:dyDescent="0.25">
      <c r="A12" s="83" t="s">
        <v>251</v>
      </c>
      <c r="B12" s="83" t="s">
        <v>316</v>
      </c>
      <c r="C12" s="83" t="s">
        <v>317</v>
      </c>
      <c r="D12" s="101"/>
      <c r="E12" s="102"/>
      <c r="F12" s="84"/>
      <c r="G12" s="84"/>
      <c r="H12" s="84"/>
      <c r="I12" s="84"/>
      <c r="J12" s="84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31" x14ac:dyDescent="0.25">
      <c r="A13" s="83" t="s">
        <v>251</v>
      </c>
      <c r="B13" s="4" t="s">
        <v>319</v>
      </c>
      <c r="C13" s="83" t="s">
        <v>636</v>
      </c>
      <c r="D13" s="133">
        <v>100</v>
      </c>
      <c r="E13" s="88">
        <f>+D13*H13</f>
        <v>16587.6054</v>
      </c>
      <c r="F13" s="88">
        <f>+[38]Main!$J$5-[38]Main!$J$6</f>
        <v>591.05100000000004</v>
      </c>
      <c r="G13" s="88">
        <f>+E13-F13</f>
        <v>15996.554400000001</v>
      </c>
      <c r="H13" s="88">
        <f>+[38]Main!$J$3</f>
        <v>165.87605400000001</v>
      </c>
      <c r="I13" s="84" t="s">
        <v>610</v>
      </c>
      <c r="J13" s="86">
        <v>45601</v>
      </c>
    </row>
    <row r="14" spans="1:31" x14ac:dyDescent="0.25">
      <c r="B14" s="85" t="s">
        <v>129</v>
      </c>
      <c r="C14" s="83" t="s">
        <v>130</v>
      </c>
      <c r="D14" s="101">
        <v>8</v>
      </c>
      <c r="E14" s="102">
        <v>6880</v>
      </c>
      <c r="F14" s="84"/>
      <c r="G14" s="84"/>
      <c r="H14" s="84"/>
      <c r="I14" s="84"/>
      <c r="J14" s="84"/>
      <c r="K14" s="103"/>
      <c r="L14" s="103"/>
      <c r="M14" s="103"/>
      <c r="N14" s="103"/>
      <c r="O14" s="105"/>
      <c r="P14" s="104"/>
      <c r="Q14" s="103"/>
      <c r="R14" s="103"/>
      <c r="S14" s="105"/>
      <c r="T14" s="103"/>
      <c r="U14" s="103"/>
      <c r="V14" s="103"/>
      <c r="W14" s="104"/>
      <c r="X14" s="103"/>
      <c r="Y14" s="103"/>
      <c r="Z14" s="105"/>
      <c r="AA14" s="103"/>
      <c r="AB14" s="103"/>
    </row>
    <row r="15" spans="1:31" x14ac:dyDescent="0.25">
      <c r="B15" s="83" t="s">
        <v>321</v>
      </c>
      <c r="C15" s="83" t="s">
        <v>638</v>
      </c>
      <c r="D15" s="83">
        <v>23.43</v>
      </c>
      <c r="E15" s="88">
        <v>4600</v>
      </c>
    </row>
    <row r="16" spans="1:31" x14ac:dyDescent="0.25">
      <c r="B16" s="4" t="s">
        <v>355</v>
      </c>
      <c r="C16" s="83" t="s">
        <v>615</v>
      </c>
      <c r="D16" s="101">
        <v>12.27</v>
      </c>
      <c r="E16" s="102">
        <f>+D16*H16</f>
        <v>2159.42446578</v>
      </c>
      <c r="F16" s="102">
        <f>+[39]Main!$K$5-[39]Main!$K$6</f>
        <v>-240.45199999999997</v>
      </c>
      <c r="G16" s="102">
        <f>+E16-F16</f>
        <v>2399.8764657799998</v>
      </c>
      <c r="H16" s="102">
        <f>+[39]Main!$K$3</f>
        <v>175.99221399999999</v>
      </c>
      <c r="I16" s="84" t="s">
        <v>610</v>
      </c>
      <c r="J16" s="86">
        <v>45552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83">
        <v>2009</v>
      </c>
    </row>
    <row r="17" spans="2:28" x14ac:dyDescent="0.25">
      <c r="B17" s="4" t="s">
        <v>635</v>
      </c>
      <c r="C17" s="83" t="s">
        <v>637</v>
      </c>
      <c r="D17" s="133">
        <v>2.8</v>
      </c>
      <c r="E17" s="88">
        <f>+D17*H17</f>
        <v>269.08319199999994</v>
      </c>
      <c r="F17" s="88">
        <f>+[40]Main!$K$5-[40]Main!$K$6</f>
        <v>-41.52800000000002</v>
      </c>
      <c r="G17" s="102">
        <f>+E17-F17</f>
        <v>310.61119199999996</v>
      </c>
      <c r="H17" s="88">
        <f>+[40]Main!$K$3</f>
        <v>96.101139999999987</v>
      </c>
      <c r="I17" s="84" t="s">
        <v>610</v>
      </c>
      <c r="J17" s="132">
        <v>45575</v>
      </c>
    </row>
    <row r="18" spans="2:28" x14ac:dyDescent="0.25">
      <c r="B18" s="4" t="s">
        <v>661</v>
      </c>
      <c r="C18" s="83" t="s">
        <v>662</v>
      </c>
      <c r="D18" s="133">
        <v>4.05</v>
      </c>
      <c r="E18" s="88"/>
      <c r="F18" s="88"/>
      <c r="G18" s="102"/>
      <c r="H18" s="88"/>
      <c r="I18" s="84"/>
      <c r="J18" s="132"/>
    </row>
    <row r="19" spans="2:28" x14ac:dyDescent="0.25">
      <c r="B19" s="83" t="s">
        <v>613</v>
      </c>
      <c r="D19" s="101"/>
      <c r="E19" s="102"/>
      <c r="F19" s="84"/>
      <c r="G19" s="84"/>
      <c r="H19" s="84"/>
      <c r="I19" s="84"/>
      <c r="J19" s="84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spans="2:28" x14ac:dyDescent="0.25">
      <c r="B20" s="83" t="s">
        <v>614</v>
      </c>
      <c r="D20" s="101"/>
      <c r="E20" s="102"/>
      <c r="F20" s="84"/>
      <c r="G20" s="84"/>
      <c r="H20" s="84"/>
      <c r="I20" s="84"/>
      <c r="J20" s="84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spans="2:28" x14ac:dyDescent="0.25">
      <c r="B21" s="4"/>
      <c r="D21" s="101"/>
      <c r="E21" s="102"/>
      <c r="F21" s="102"/>
      <c r="G21" s="102"/>
      <c r="H21" s="102"/>
      <c r="I21" s="84"/>
      <c r="J21" s="84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spans="2:28" ht="13" x14ac:dyDescent="0.3">
      <c r="B22" s="22" t="s">
        <v>246</v>
      </c>
      <c r="F22" s="47" t="s">
        <v>212</v>
      </c>
    </row>
    <row r="23" spans="2:28" x14ac:dyDescent="0.25">
      <c r="B23" s="83" t="s">
        <v>275</v>
      </c>
      <c r="E23" s="88">
        <v>400000</v>
      </c>
    </row>
    <row r="24" spans="2:28" x14ac:dyDescent="0.25">
      <c r="B24" s="83" t="s">
        <v>245</v>
      </c>
      <c r="E24" s="88">
        <v>30000</v>
      </c>
    </row>
    <row r="25" spans="2:28" x14ac:dyDescent="0.25">
      <c r="B25" s="83" t="s">
        <v>620</v>
      </c>
      <c r="C25" s="83" t="s">
        <v>619</v>
      </c>
      <c r="D25" s="101">
        <v>44.5</v>
      </c>
      <c r="E25" s="102">
        <v>34050</v>
      </c>
    </row>
    <row r="26" spans="2:28" x14ac:dyDescent="0.25">
      <c r="B26" s="83" t="s">
        <v>315</v>
      </c>
      <c r="E26" s="88">
        <v>14500</v>
      </c>
      <c r="F26" s="83">
        <v>2015</v>
      </c>
      <c r="H26" s="83" t="s">
        <v>443</v>
      </c>
    </row>
    <row r="27" spans="2:28" x14ac:dyDescent="0.25">
      <c r="B27" s="83" t="s">
        <v>441</v>
      </c>
      <c r="E27" s="88"/>
      <c r="F27" s="83">
        <v>2021</v>
      </c>
      <c r="H27" s="83" t="s">
        <v>621</v>
      </c>
    </row>
    <row r="28" spans="2:28" x14ac:dyDescent="0.25">
      <c r="B28" s="83" t="s">
        <v>442</v>
      </c>
      <c r="E28" s="83">
        <v>1000</v>
      </c>
      <c r="H28" s="83" t="s">
        <v>444</v>
      </c>
    </row>
    <row r="29" spans="2:28" x14ac:dyDescent="0.25">
      <c r="B29" s="83" t="s">
        <v>244</v>
      </c>
      <c r="E29" s="83">
        <v>200</v>
      </c>
    </row>
    <row r="30" spans="2:28" x14ac:dyDescent="0.25">
      <c r="B30" s="83" t="s">
        <v>318</v>
      </c>
    </row>
    <row r="31" spans="2:28" x14ac:dyDescent="0.25">
      <c r="B31" s="83" t="s">
        <v>320</v>
      </c>
    </row>
    <row r="32" spans="2:28" x14ac:dyDescent="0.25">
      <c r="B32" s="83" t="s">
        <v>322</v>
      </c>
    </row>
    <row r="33" spans="2:2" x14ac:dyDescent="0.25">
      <c r="B33" s="83" t="s">
        <v>323</v>
      </c>
    </row>
    <row r="34" spans="2:2" x14ac:dyDescent="0.25">
      <c r="B34" s="83" t="s">
        <v>324</v>
      </c>
    </row>
    <row r="35" spans="2:2" x14ac:dyDescent="0.25">
      <c r="B35" s="83" t="s">
        <v>347</v>
      </c>
    </row>
    <row r="36" spans="2:2" x14ac:dyDescent="0.25">
      <c r="B36" s="83" t="s">
        <v>243</v>
      </c>
    </row>
    <row r="37" spans="2:2" x14ac:dyDescent="0.25">
      <c r="B37" s="83" t="s">
        <v>348</v>
      </c>
    </row>
    <row r="38" spans="2:2" x14ac:dyDescent="0.25">
      <c r="B38" s="83" t="s">
        <v>400</v>
      </c>
    </row>
    <row r="39" spans="2:2" x14ac:dyDescent="0.25">
      <c r="B39" s="83" t="s">
        <v>349</v>
      </c>
    </row>
    <row r="40" spans="2:2" x14ac:dyDescent="0.25">
      <c r="B40" s="83" t="s">
        <v>350</v>
      </c>
    </row>
    <row r="41" spans="2:2" x14ac:dyDescent="0.25">
      <c r="B41" s="83" t="s">
        <v>293</v>
      </c>
    </row>
    <row r="42" spans="2:2" x14ac:dyDescent="0.25">
      <c r="B42" s="83" t="s">
        <v>351</v>
      </c>
    </row>
    <row r="43" spans="2:2" x14ac:dyDescent="0.25">
      <c r="B43" s="83" t="s">
        <v>352</v>
      </c>
    </row>
    <row r="44" spans="2:2" x14ac:dyDescent="0.25">
      <c r="B44" s="83" t="s">
        <v>353</v>
      </c>
    </row>
    <row r="45" spans="2:2" x14ac:dyDescent="0.25">
      <c r="B45" s="83" t="s">
        <v>354</v>
      </c>
    </row>
    <row r="46" spans="2:2" x14ac:dyDescent="0.25">
      <c r="B46" s="83" t="s">
        <v>356</v>
      </c>
    </row>
    <row r="47" spans="2:2" x14ac:dyDescent="0.25">
      <c r="B47" s="83" t="s">
        <v>357</v>
      </c>
    </row>
    <row r="48" spans="2:2" x14ac:dyDescent="0.25">
      <c r="B48" s="83" t="s">
        <v>358</v>
      </c>
    </row>
    <row r="49" spans="2:2" x14ac:dyDescent="0.25">
      <c r="B49" s="83" t="s">
        <v>359</v>
      </c>
    </row>
    <row r="50" spans="2:2" x14ac:dyDescent="0.25">
      <c r="B50" s="83" t="s">
        <v>360</v>
      </c>
    </row>
    <row r="51" spans="2:2" x14ac:dyDescent="0.25">
      <c r="B51" s="83" t="s">
        <v>361</v>
      </c>
    </row>
    <row r="52" spans="2:2" x14ac:dyDescent="0.25">
      <c r="B52" s="83" t="s">
        <v>362</v>
      </c>
    </row>
    <row r="53" spans="2:2" x14ac:dyDescent="0.25">
      <c r="B53" s="83" t="s">
        <v>363</v>
      </c>
    </row>
    <row r="54" spans="2:2" x14ac:dyDescent="0.25">
      <c r="B54" s="83" t="s">
        <v>364</v>
      </c>
    </row>
    <row r="55" spans="2:2" x14ac:dyDescent="0.25">
      <c r="B55" s="83" t="s">
        <v>365</v>
      </c>
    </row>
    <row r="56" spans="2:2" x14ac:dyDescent="0.25">
      <c r="B56" s="83" t="s">
        <v>366</v>
      </c>
    </row>
    <row r="57" spans="2:2" x14ac:dyDescent="0.25">
      <c r="B57" s="83" t="s">
        <v>367</v>
      </c>
    </row>
    <row r="58" spans="2:2" x14ac:dyDescent="0.25">
      <c r="B58" s="83" t="s">
        <v>368</v>
      </c>
    </row>
    <row r="59" spans="2:2" x14ac:dyDescent="0.25">
      <c r="B59" s="83" t="s">
        <v>618</v>
      </c>
    </row>
    <row r="60" spans="2:2" x14ac:dyDescent="0.25">
      <c r="B60" s="83" t="s">
        <v>622</v>
      </c>
    </row>
    <row r="61" spans="2:2" x14ac:dyDescent="0.25">
      <c r="B61" s="83" t="s">
        <v>623</v>
      </c>
    </row>
  </sheetData>
  <hyperlinks>
    <hyperlink ref="B3" r:id="rId1" xr:uid="{06D5809E-72A9-41D7-974F-FA58D1ED15C4}"/>
    <hyperlink ref="B4" r:id="rId2" xr:uid="{29919CCF-0924-4FDD-BCCD-7B5AA19C4B1D}"/>
    <hyperlink ref="A1" location="Main!A1" display="Main" xr:uid="{62A13976-8B3C-42C8-B6D0-AD7B6C4E3241}"/>
    <hyperlink ref="B7" r:id="rId3" xr:uid="{FD70E649-2E6A-4E67-ACA2-AB99C8053558}"/>
    <hyperlink ref="B8" r:id="rId4" xr:uid="{E0C00157-A29D-4089-A301-263D6806A443}"/>
    <hyperlink ref="B16" r:id="rId5" xr:uid="{F2D1B519-58E2-47EE-8E6D-0688870F445A}"/>
    <hyperlink ref="B11" r:id="rId6" xr:uid="{AC1CC063-B823-4A7D-A8BB-4A7C1335CF37}"/>
    <hyperlink ref="B17" r:id="rId7" xr:uid="{4154AEB6-6C88-4F6F-872B-1D93D7AD3116}"/>
    <hyperlink ref="B13" r:id="rId8" xr:uid="{4F991C71-9B3C-48CE-B448-ACEE09302EFD}"/>
    <hyperlink ref="B18" r:id="rId9" xr:uid="{DE90D765-C33C-4BA8-8FA3-E68B8858A583}"/>
  </hyperlinks>
  <pageMargins left="0.7" right="0.7" top="0.75" bottom="0.75" header="0.3" footer="0.3"/>
  <pageSetup orientation="portrait" horizontalDpi="1200" verticalDpi="1200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2437-B4E9-44AF-8552-EF0FF979C92B}">
  <dimension ref="A1:X29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53" bestFit="1" customWidth="1"/>
    <col min="2" max="2" width="15" style="53" customWidth="1"/>
    <col min="3" max="16384" width="9.1796875" style="53"/>
  </cols>
  <sheetData>
    <row r="1" spans="1:24" x14ac:dyDescent="0.25">
      <c r="A1" s="4" t="s">
        <v>142</v>
      </c>
      <c r="B1" s="83"/>
      <c r="C1" s="83"/>
      <c r="D1" s="83"/>
      <c r="E1" s="83"/>
      <c r="F1" s="83"/>
      <c r="G1" s="83"/>
      <c r="H1" s="83"/>
      <c r="I1" s="83"/>
      <c r="J1" s="83"/>
    </row>
    <row r="2" spans="1:24" x14ac:dyDescent="0.25">
      <c r="A2" s="4"/>
      <c r="B2" s="83" t="s">
        <v>0</v>
      </c>
      <c r="C2" s="83" t="s">
        <v>1</v>
      </c>
      <c r="D2" s="84" t="s">
        <v>2</v>
      </c>
      <c r="E2" s="102" t="s">
        <v>3</v>
      </c>
      <c r="F2" s="84" t="s">
        <v>381</v>
      </c>
      <c r="G2" s="84" t="s">
        <v>5</v>
      </c>
      <c r="H2" s="84" t="s">
        <v>211</v>
      </c>
      <c r="I2" s="84" t="s">
        <v>382</v>
      </c>
      <c r="J2" s="84" t="s">
        <v>222</v>
      </c>
    </row>
    <row r="3" spans="1:24" x14ac:dyDescent="0.25">
      <c r="A3" s="83" t="s">
        <v>251</v>
      </c>
      <c r="B3" s="4" t="s">
        <v>178</v>
      </c>
      <c r="C3" s="83" t="s">
        <v>179</v>
      </c>
      <c r="D3" s="101">
        <v>375.71</v>
      </c>
      <c r="E3" s="102">
        <f>+D3*H3</f>
        <v>57472.452251789997</v>
      </c>
      <c r="F3" s="102">
        <f>+[41]Main!$N$5-[41]Main!$N$6</f>
        <v>1696.7459999999999</v>
      </c>
      <c r="G3" s="102">
        <f t="shared" ref="G3:G8" si="0">E3-F3</f>
        <v>55775.706251789998</v>
      </c>
      <c r="H3" s="102">
        <f>+[41]Main!$N$3</f>
        <v>152.970249</v>
      </c>
      <c r="I3" s="84" t="s">
        <v>14</v>
      </c>
      <c r="J3" s="86">
        <v>44783</v>
      </c>
      <c r="K3" s="54"/>
      <c r="L3" s="54"/>
      <c r="M3" s="54"/>
      <c r="N3" s="54"/>
      <c r="O3" s="54"/>
      <c r="P3" s="55"/>
      <c r="Q3" s="54"/>
      <c r="R3" s="54"/>
      <c r="S3" s="56"/>
      <c r="T3" s="55"/>
      <c r="U3" s="54"/>
      <c r="V3" s="54"/>
      <c r="W3" s="56"/>
    </row>
    <row r="4" spans="1:24" x14ac:dyDescent="0.25">
      <c r="A4" s="83" t="s">
        <v>251</v>
      </c>
      <c r="B4" s="4" t="s">
        <v>176</v>
      </c>
      <c r="C4" s="83" t="s">
        <v>177</v>
      </c>
      <c r="D4" s="101">
        <v>39.74</v>
      </c>
      <c r="E4" s="102">
        <f>+D4*[42]Main!$L$3*EUR</f>
        <v>53089.738980000009</v>
      </c>
      <c r="F4" s="102">
        <f>+([42]Main!$L$5-[42]Main!$L$6)*EUR</f>
        <v>-490.25400000000008</v>
      </c>
      <c r="G4" s="102">
        <f t="shared" si="0"/>
        <v>53579.99298000001</v>
      </c>
      <c r="H4" s="102"/>
      <c r="I4" s="84" t="s">
        <v>198</v>
      </c>
      <c r="J4" s="84"/>
      <c r="K4" s="54"/>
      <c r="L4" s="54"/>
      <c r="M4" s="54"/>
      <c r="N4" s="54"/>
      <c r="O4" s="54"/>
      <c r="P4" s="55"/>
      <c r="Q4" s="54"/>
      <c r="R4" s="54"/>
      <c r="S4" s="56"/>
      <c r="T4" s="55"/>
      <c r="U4" s="54"/>
      <c r="V4" s="54"/>
      <c r="W4" s="56"/>
    </row>
    <row r="5" spans="1:24" x14ac:dyDescent="0.25">
      <c r="A5" s="83" t="s">
        <v>251</v>
      </c>
      <c r="B5" s="4" t="s">
        <v>48</v>
      </c>
      <c r="C5" s="83" t="s">
        <v>49</v>
      </c>
      <c r="D5" s="101">
        <v>253.59</v>
      </c>
      <c r="E5" s="102">
        <f>+D5*H5</f>
        <v>69438.013800000001</v>
      </c>
      <c r="F5" s="102">
        <f>+[43]Main!$K$5-[43]Main!$K$6</f>
        <v>-289.71199999999999</v>
      </c>
      <c r="G5" s="102">
        <f t="shared" si="0"/>
        <v>69727.7258</v>
      </c>
      <c r="H5" s="102">
        <f>+[43]Main!$K$3</f>
        <v>273.82</v>
      </c>
      <c r="I5" s="84" t="s">
        <v>219</v>
      </c>
      <c r="J5" s="84"/>
      <c r="K5" s="54"/>
      <c r="L5" s="54"/>
      <c r="M5" s="54"/>
      <c r="N5" s="54"/>
      <c r="O5" s="54"/>
      <c r="P5" s="55"/>
      <c r="Q5" s="54"/>
      <c r="R5" s="54"/>
      <c r="S5" s="56"/>
      <c r="T5" s="55"/>
      <c r="U5" s="54"/>
      <c r="V5" s="54"/>
      <c r="W5" s="56"/>
    </row>
    <row r="6" spans="1:24" x14ac:dyDescent="0.25">
      <c r="A6" s="83" t="s">
        <v>251</v>
      </c>
      <c r="B6" s="4" t="s">
        <v>46</v>
      </c>
      <c r="C6" s="83" t="s">
        <v>47</v>
      </c>
      <c r="D6" s="101">
        <v>203.73</v>
      </c>
      <c r="E6" s="102">
        <f>+D6*H6</f>
        <v>44264.86632465</v>
      </c>
      <c r="F6" s="102">
        <f>+[44]Main!$L$5-[44]Main!$L$6</f>
        <v>-1005</v>
      </c>
      <c r="G6" s="102">
        <f t="shared" si="0"/>
        <v>45269.86632465</v>
      </c>
      <c r="H6" s="102">
        <f>+[44]Main!$L$3</f>
        <v>217.27220500000001</v>
      </c>
      <c r="I6" s="84" t="s">
        <v>14</v>
      </c>
      <c r="J6" s="84"/>
      <c r="K6" s="54"/>
      <c r="L6" s="54"/>
      <c r="M6" s="54"/>
      <c r="N6" s="54"/>
      <c r="O6" s="54"/>
      <c r="P6" s="55"/>
      <c r="Q6" s="54"/>
      <c r="R6" s="54"/>
      <c r="S6" s="56"/>
      <c r="T6" s="55"/>
      <c r="U6" s="54"/>
      <c r="V6" s="54"/>
      <c r="W6" s="56"/>
      <c r="X6" s="53">
        <v>1982</v>
      </c>
    </row>
    <row r="7" spans="1:24" x14ac:dyDescent="0.25">
      <c r="A7" s="83"/>
      <c r="B7" s="4" t="s">
        <v>61</v>
      </c>
      <c r="C7" s="83" t="s">
        <v>62</v>
      </c>
      <c r="D7" s="101">
        <v>236.61</v>
      </c>
      <c r="E7" s="102">
        <f>+D7*H7</f>
        <v>20601.316825649999</v>
      </c>
      <c r="F7" s="102">
        <f>+[45]Main!$M$5-[45]Main!$M$6</f>
        <v>-235.76700000000005</v>
      </c>
      <c r="G7" s="102">
        <f t="shared" si="0"/>
        <v>20837.083825649999</v>
      </c>
      <c r="H7" s="102">
        <f>+[45]Main!$M$3</f>
        <v>87.068664999999996</v>
      </c>
      <c r="I7" s="84" t="s">
        <v>198</v>
      </c>
      <c r="J7" s="86">
        <v>44795</v>
      </c>
      <c r="K7" s="54"/>
      <c r="L7" s="54"/>
      <c r="M7" s="54"/>
      <c r="N7" s="54"/>
      <c r="O7" s="54"/>
      <c r="P7" s="55"/>
      <c r="Q7" s="54"/>
      <c r="R7" s="54"/>
      <c r="S7" s="56"/>
      <c r="T7" s="55"/>
      <c r="U7" s="54"/>
      <c r="V7" s="54"/>
      <c r="W7" s="56"/>
    </row>
    <row r="8" spans="1:24" x14ac:dyDescent="0.25">
      <c r="A8" s="83" t="s">
        <v>251</v>
      </c>
      <c r="B8" s="30" t="s">
        <v>217</v>
      </c>
      <c r="C8" s="83" t="s">
        <v>218</v>
      </c>
      <c r="D8" s="101">
        <v>122.15</v>
      </c>
      <c r="E8" s="102">
        <f>D8*H8/SEK</f>
        <v>31363.739288425048</v>
      </c>
      <c r="F8" s="102">
        <f>([46]Main!$L$5-[46]Main!$L$6)*EUR</f>
        <v>-3389.8630000000003</v>
      </c>
      <c r="G8" s="102">
        <f t="shared" si="0"/>
        <v>34753.602288425049</v>
      </c>
      <c r="H8" s="102">
        <f>[46]Main!$L$3</f>
        <v>2706.2939999999999</v>
      </c>
      <c r="I8" s="84" t="s">
        <v>376</v>
      </c>
      <c r="J8" s="86">
        <v>45056</v>
      </c>
      <c r="K8" s="54"/>
      <c r="L8" s="54"/>
      <c r="M8" s="54"/>
      <c r="N8" s="54"/>
      <c r="O8" s="56"/>
      <c r="P8" s="55"/>
      <c r="Q8" s="54"/>
      <c r="R8" s="54"/>
      <c r="S8" s="56"/>
      <c r="T8" s="55"/>
      <c r="U8" s="54"/>
      <c r="V8" s="54"/>
      <c r="W8" s="56"/>
      <c r="X8" s="53">
        <v>1992</v>
      </c>
    </row>
    <row r="9" spans="1:24" x14ac:dyDescent="0.25">
      <c r="A9" s="83"/>
      <c r="B9" s="85" t="s">
        <v>92</v>
      </c>
      <c r="C9" s="83" t="s">
        <v>92</v>
      </c>
      <c r="D9" s="101">
        <v>115.52</v>
      </c>
      <c r="E9" s="102">
        <v>13640</v>
      </c>
      <c r="F9" s="83"/>
      <c r="G9" s="83"/>
      <c r="H9" s="83"/>
      <c r="I9" s="83"/>
      <c r="J9" s="83"/>
    </row>
    <row r="10" spans="1:24" x14ac:dyDescent="0.25">
      <c r="A10" s="83" t="s">
        <v>251</v>
      </c>
      <c r="B10" s="83" t="s">
        <v>108</v>
      </c>
      <c r="C10" s="83" t="s">
        <v>905</v>
      </c>
      <c r="D10" s="101"/>
      <c r="E10" s="102"/>
      <c r="F10" s="83"/>
      <c r="G10" s="83"/>
      <c r="H10" s="83"/>
      <c r="I10" s="83"/>
      <c r="J10" s="83"/>
    </row>
    <row r="11" spans="1:24" x14ac:dyDescent="0.25">
      <c r="A11" s="83"/>
      <c r="B11" s="83" t="s">
        <v>220</v>
      </c>
      <c r="C11" s="83" t="s">
        <v>221</v>
      </c>
      <c r="D11" s="106">
        <v>31.44</v>
      </c>
      <c r="E11" s="102">
        <v>2220</v>
      </c>
      <c r="F11" s="84"/>
      <c r="G11" s="84"/>
      <c r="H11" s="84"/>
      <c r="I11" s="84"/>
      <c r="J11" s="84"/>
      <c r="K11" s="54"/>
      <c r="L11" s="54"/>
      <c r="M11" s="54"/>
      <c r="N11" s="54"/>
      <c r="O11" s="54"/>
      <c r="P11" s="55"/>
      <c r="Q11" s="54"/>
      <c r="R11" s="54"/>
      <c r="S11" s="56"/>
      <c r="T11" s="55"/>
      <c r="U11" s="54"/>
      <c r="V11" s="54"/>
      <c r="W11" s="56"/>
    </row>
    <row r="12" spans="1:24" x14ac:dyDescent="0.25">
      <c r="A12" s="83"/>
      <c r="B12" s="83" t="s">
        <v>313</v>
      </c>
      <c r="C12" s="83" t="s">
        <v>369</v>
      </c>
      <c r="D12" s="84"/>
      <c r="E12" s="84"/>
      <c r="F12" s="84"/>
      <c r="G12" s="84"/>
      <c r="H12" s="84"/>
      <c r="I12" s="84"/>
      <c r="J12" s="84"/>
    </row>
    <row r="13" spans="1:24" x14ac:dyDescent="0.25">
      <c r="A13" s="83"/>
      <c r="B13" s="83" t="s">
        <v>314</v>
      </c>
      <c r="C13" s="83"/>
      <c r="D13" s="84"/>
      <c r="E13" s="84"/>
      <c r="F13" s="84"/>
      <c r="G13" s="84"/>
      <c r="H13" s="84"/>
      <c r="I13" s="84"/>
      <c r="J13" s="84"/>
    </row>
    <row r="14" spans="1:24" x14ac:dyDescent="0.25">
      <c r="A14" s="83" t="s">
        <v>251</v>
      </c>
      <c r="B14" s="83" t="s">
        <v>484</v>
      </c>
      <c r="C14" s="83" t="s">
        <v>107</v>
      </c>
      <c r="D14" s="83"/>
      <c r="E14" s="83"/>
      <c r="F14" s="83"/>
      <c r="G14" s="83"/>
      <c r="H14" s="83"/>
      <c r="I14" s="83"/>
      <c r="J14" s="83"/>
    </row>
    <row r="15" spans="1:24" x14ac:dyDescent="0.25">
      <c r="A15" s="83"/>
      <c r="B15" s="85" t="s">
        <v>90</v>
      </c>
      <c r="C15" s="83" t="s">
        <v>91</v>
      </c>
      <c r="D15" s="101">
        <v>206.61</v>
      </c>
      <c r="E15" s="102">
        <v>13880</v>
      </c>
      <c r="F15" s="83"/>
      <c r="G15" s="83"/>
      <c r="H15" s="83"/>
      <c r="I15" s="83"/>
      <c r="J15" s="83"/>
    </row>
    <row r="16" spans="1:24" x14ac:dyDescent="0.25">
      <c r="A16" s="83"/>
      <c r="B16" s="83" t="s">
        <v>436</v>
      </c>
      <c r="C16" s="83" t="s">
        <v>435</v>
      </c>
      <c r="D16" s="83"/>
      <c r="E16" s="83"/>
      <c r="F16" s="83"/>
      <c r="G16" s="83"/>
      <c r="H16" s="83"/>
      <c r="I16" s="83"/>
      <c r="J16" s="83"/>
    </row>
    <row r="17" spans="1:10" x14ac:dyDescent="0.25">
      <c r="A17" s="83"/>
      <c r="B17" s="83" t="s">
        <v>512</v>
      </c>
      <c r="C17" s="83" t="s">
        <v>513</v>
      </c>
      <c r="D17" s="83"/>
      <c r="E17" s="83"/>
      <c r="F17" s="83"/>
      <c r="G17" s="83"/>
      <c r="H17" s="83"/>
      <c r="I17" s="83"/>
      <c r="J17" s="83"/>
    </row>
    <row r="18" spans="1:10" x14ac:dyDescent="0.25">
      <c r="A18" s="83"/>
      <c r="B18" s="83" t="s">
        <v>530</v>
      </c>
      <c r="C18" s="83" t="s">
        <v>531</v>
      </c>
      <c r="D18" s="83"/>
      <c r="E18" s="83"/>
      <c r="F18" s="83"/>
      <c r="G18" s="83"/>
      <c r="H18" s="83"/>
      <c r="I18" s="83"/>
      <c r="J18" s="83"/>
    </row>
    <row r="19" spans="1:10" x14ac:dyDescent="0.25">
      <c r="A19" s="83"/>
      <c r="B19" s="83" t="s">
        <v>546</v>
      </c>
      <c r="C19" s="83" t="s">
        <v>547</v>
      </c>
      <c r="D19" s="83"/>
      <c r="E19" s="83"/>
      <c r="F19" s="83"/>
      <c r="G19" s="83"/>
      <c r="H19" s="83"/>
      <c r="I19" s="83"/>
      <c r="J19" s="83"/>
    </row>
    <row r="20" spans="1:10" x14ac:dyDescent="0.25">
      <c r="A20" s="83"/>
      <c r="B20" s="83" t="s">
        <v>550</v>
      </c>
      <c r="C20" s="83" t="s">
        <v>551</v>
      </c>
      <c r="D20" s="83"/>
      <c r="E20" s="83"/>
      <c r="F20" s="83"/>
      <c r="G20" s="83"/>
      <c r="H20" s="83"/>
      <c r="I20" s="83"/>
      <c r="J20" s="83"/>
    </row>
    <row r="21" spans="1:10" x14ac:dyDescent="0.25">
      <c r="A21" s="83"/>
      <c r="B21" s="83" t="s">
        <v>554</v>
      </c>
      <c r="C21" s="83" t="s">
        <v>555</v>
      </c>
      <c r="D21" s="83"/>
      <c r="E21" s="83"/>
      <c r="F21" s="83"/>
      <c r="G21" s="83"/>
      <c r="H21" s="83"/>
      <c r="I21" s="83"/>
      <c r="J21" s="83"/>
    </row>
    <row r="22" spans="1:10" ht="14.5" x14ac:dyDescent="0.35">
      <c r="A22"/>
    </row>
    <row r="23" spans="1:10" ht="14.5" x14ac:dyDescent="0.35">
      <c r="A23"/>
      <c r="B23" s="28" t="s">
        <v>246</v>
      </c>
    </row>
    <row r="24" spans="1:10" ht="14.5" x14ac:dyDescent="0.35">
      <c r="A24"/>
      <c r="B24" s="53" t="s">
        <v>399</v>
      </c>
      <c r="E24" s="53">
        <v>2400</v>
      </c>
    </row>
    <row r="25" spans="1:10" ht="14.5" x14ac:dyDescent="0.35">
      <c r="A25"/>
      <c r="B25" s="53" t="s">
        <v>378</v>
      </c>
      <c r="E25" s="53">
        <v>1500</v>
      </c>
    </row>
    <row r="26" spans="1:10" x14ac:dyDescent="0.25">
      <c r="B26" s="53" t="s">
        <v>380</v>
      </c>
      <c r="E26" s="53">
        <v>1000</v>
      </c>
    </row>
    <row r="27" spans="1:10" x14ac:dyDescent="0.25">
      <c r="B27" s="53" t="s">
        <v>398</v>
      </c>
      <c r="E27" s="53">
        <v>1000</v>
      </c>
    </row>
    <row r="28" spans="1:10" x14ac:dyDescent="0.25">
      <c r="B28" s="53" t="s">
        <v>370</v>
      </c>
    </row>
    <row r="29" spans="1:10" x14ac:dyDescent="0.25">
      <c r="B29" s="53" t="s">
        <v>379</v>
      </c>
    </row>
  </sheetData>
  <hyperlinks>
    <hyperlink ref="B4" r:id="rId1" xr:uid="{A7E983F7-BC7A-4B3D-8444-6070EF708DDF}"/>
    <hyperlink ref="B6" r:id="rId2" xr:uid="{C691107C-F03A-4EB9-887D-F480D084DC80}"/>
    <hyperlink ref="B5" r:id="rId3" xr:uid="{C9E770CD-C0F9-437F-A1F8-A5EC0DD0B08B}"/>
    <hyperlink ref="B3" r:id="rId4" xr:uid="{8CA64543-CFB9-4EFA-93C4-C766402037C3}"/>
    <hyperlink ref="A1" location="Main!A1" display="Main" xr:uid="{69B9600D-1FE1-4411-8DDE-BF8E78812291}"/>
    <hyperlink ref="B7" r:id="rId5" xr:uid="{3FA63595-4D83-4815-90B6-28C534796235}"/>
    <hyperlink ref="B8" r:id="rId6" xr:uid="{B1E63D77-7B2A-465F-96ED-98ACEF7D4A6C}"/>
  </hyperlinks>
  <pageMargins left="0.7" right="0.7" top="0.75" bottom="0.75" header="0.3" footer="0.3"/>
  <pageSetup orientation="portrait" horizontalDpi="1200" verticalDpi="1200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990C-C1C5-4FE2-B554-717099EBE596}">
  <dimension ref="A1:AA49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83" bestFit="1" customWidth="1"/>
    <col min="2" max="2" width="13.7265625" style="83" customWidth="1"/>
    <col min="3" max="3" width="12.1796875" style="83" bestFit="1" customWidth="1"/>
    <col min="4" max="4" width="10.08984375" style="83" bestFit="1" customWidth="1"/>
    <col min="5" max="5" width="9.81640625" style="83" customWidth="1"/>
    <col min="6" max="6" width="9.26953125" style="83" bestFit="1" customWidth="1"/>
    <col min="7" max="7" width="10.90625" style="83" bestFit="1" customWidth="1"/>
    <col min="8" max="8" width="9.26953125" style="83" bestFit="1" customWidth="1"/>
    <col min="9" max="9" width="9.1796875" style="83"/>
    <col min="10" max="10" width="10.26953125" style="83" customWidth="1"/>
    <col min="11" max="12" width="9.1796875" style="83"/>
    <col min="13" max="15" width="9.26953125" style="83" bestFit="1" customWidth="1"/>
    <col min="16" max="18" width="9.1796875" style="83"/>
    <col min="19" max="19" width="9.26953125" style="83" bestFit="1" customWidth="1"/>
    <col min="20" max="20" width="9.1796875" style="83"/>
    <col min="21" max="26" width="9.26953125" style="83" bestFit="1" customWidth="1"/>
    <col min="27" max="16384" width="9.1796875" style="83"/>
  </cols>
  <sheetData>
    <row r="1" spans="1:27" x14ac:dyDescent="0.25">
      <c r="A1" s="4" t="s">
        <v>142</v>
      </c>
    </row>
    <row r="2" spans="1:27" x14ac:dyDescent="0.25">
      <c r="B2" s="111" t="s">
        <v>0</v>
      </c>
      <c r="C2" s="112" t="s">
        <v>1</v>
      </c>
      <c r="D2" s="113" t="s">
        <v>2</v>
      </c>
      <c r="E2" s="114" t="s">
        <v>3</v>
      </c>
      <c r="F2" s="115" t="s">
        <v>4</v>
      </c>
      <c r="G2" s="115" t="s">
        <v>5</v>
      </c>
      <c r="H2" s="115" t="s">
        <v>211</v>
      </c>
      <c r="I2" s="115" t="s">
        <v>6</v>
      </c>
      <c r="J2" s="115" t="s">
        <v>222</v>
      </c>
      <c r="K2" s="116" t="s">
        <v>206</v>
      </c>
      <c r="L2" s="116" t="s">
        <v>210</v>
      </c>
      <c r="M2" s="116" t="s">
        <v>207</v>
      </c>
      <c r="N2" s="116" t="s">
        <v>208</v>
      </c>
      <c r="O2" s="117" t="s">
        <v>209</v>
      </c>
      <c r="P2" s="118" t="s">
        <v>227</v>
      </c>
      <c r="Q2" s="116" t="s">
        <v>228</v>
      </c>
      <c r="R2" s="116" t="s">
        <v>229</v>
      </c>
      <c r="S2" s="117">
        <v>2025</v>
      </c>
      <c r="T2" s="118" t="s">
        <v>226</v>
      </c>
      <c r="U2" s="116">
        <v>2023</v>
      </c>
      <c r="V2" s="116">
        <v>2024</v>
      </c>
      <c r="W2" s="117">
        <v>2025</v>
      </c>
      <c r="X2" s="134" t="s">
        <v>212</v>
      </c>
      <c r="Y2" s="83" t="s">
        <v>415</v>
      </c>
    </row>
    <row r="3" spans="1:27" x14ac:dyDescent="0.25">
      <c r="A3" s="83" t="s">
        <v>251</v>
      </c>
      <c r="B3" s="4" t="s">
        <v>7</v>
      </c>
      <c r="C3" s="83" t="s">
        <v>8</v>
      </c>
      <c r="D3" s="101">
        <v>426.78</v>
      </c>
      <c r="E3" s="102">
        <f>D3*[28]Main!$L$3</f>
        <v>3177377.0999999996</v>
      </c>
      <c r="F3" s="102">
        <f>[28]Main!$L$5-[28]Main!$L$6</f>
        <v>71693</v>
      </c>
      <c r="G3" s="102">
        <f>+E3-F3</f>
        <v>3105684.0999999996</v>
      </c>
      <c r="H3" s="102">
        <f>+[28]Main!$L$3</f>
        <v>7445</v>
      </c>
      <c r="I3" s="84" t="s">
        <v>14</v>
      </c>
      <c r="J3" s="132">
        <v>45152</v>
      </c>
      <c r="M3" s="135">
        <f>+[28]Model!$BX$50</f>
        <v>0.14932156232406713</v>
      </c>
      <c r="AA3" s="83" t="s">
        <v>461</v>
      </c>
    </row>
    <row r="4" spans="1:27" x14ac:dyDescent="0.25">
      <c r="A4" s="83" t="s">
        <v>251</v>
      </c>
      <c r="B4" s="4" t="s">
        <v>15</v>
      </c>
      <c r="C4" s="83" t="s">
        <v>16</v>
      </c>
      <c r="D4" s="101">
        <v>391.4</v>
      </c>
      <c r="E4" s="102">
        <f>+D4*[35]Main!$L$3*1000/HKD</f>
        <v>453586817.49853498</v>
      </c>
      <c r="F4" s="102">
        <f>([35]Main!$L$5-[35]Main!$L$6)/HKD*1000</f>
        <v>9502407.7046548948</v>
      </c>
      <c r="G4" s="102">
        <f>+E4-F4</f>
        <v>444084409.79388011</v>
      </c>
      <c r="H4" s="102"/>
      <c r="I4" s="84" t="s">
        <v>14</v>
      </c>
      <c r="M4" s="136"/>
    </row>
    <row r="5" spans="1:27" x14ac:dyDescent="0.25">
      <c r="A5" s="83" t="s">
        <v>251</v>
      </c>
      <c r="B5" s="4" t="s">
        <v>19</v>
      </c>
      <c r="C5" s="83" t="s">
        <v>20</v>
      </c>
      <c r="D5" s="101">
        <v>532</v>
      </c>
      <c r="E5" s="102">
        <f>+D5*[47]Main!$N$4</f>
        <v>238336</v>
      </c>
      <c r="F5" s="102">
        <f>+[47]Main!$N$6-[47]Main!$N$7</f>
        <v>1888</v>
      </c>
      <c r="G5" s="102">
        <f t="shared" ref="G5:G11" si="0">+E5-F5</f>
        <v>236448</v>
      </c>
      <c r="H5" s="102">
        <f>+[47]Main!$N$4</f>
        <v>448</v>
      </c>
      <c r="I5" s="84" t="s">
        <v>610</v>
      </c>
      <c r="J5" s="86">
        <v>45548</v>
      </c>
      <c r="K5" s="103"/>
      <c r="L5" s="103"/>
      <c r="M5" s="135">
        <f>+[47]Model!$AP$36</f>
        <v>0.08</v>
      </c>
      <c r="N5" s="107">
        <f>+[47]Model!$AP$34</f>
        <v>0.01</v>
      </c>
      <c r="O5" s="107">
        <f>+[47]Model!$AP$35</f>
        <v>0.03</v>
      </c>
      <c r="P5" s="104"/>
      <c r="Q5" s="103"/>
      <c r="R5" s="103"/>
      <c r="S5" s="105"/>
      <c r="T5" s="104"/>
      <c r="U5" s="103"/>
      <c r="V5" s="103"/>
      <c r="W5" s="105"/>
      <c r="X5" s="83">
        <v>1982</v>
      </c>
    </row>
    <row r="6" spans="1:27" x14ac:dyDescent="0.25">
      <c r="A6" s="83" t="s">
        <v>251</v>
      </c>
      <c r="B6" s="4" t="s">
        <v>257</v>
      </c>
      <c r="C6" s="83" t="s">
        <v>258</v>
      </c>
      <c r="D6" s="137">
        <v>12025</v>
      </c>
      <c r="E6" s="102">
        <f>D6*H6/JPY</f>
        <v>108755.68776016941</v>
      </c>
      <c r="F6" s="102">
        <f>([48]Main!$O$7-[48]Main!$O$8)/JPY</f>
        <v>3147.411085956328</v>
      </c>
      <c r="G6" s="102">
        <f t="shared" si="0"/>
        <v>105608.27667421309</v>
      </c>
      <c r="H6" s="102">
        <f>[48]Main!$O$4</f>
        <v>1238.413</v>
      </c>
      <c r="I6" s="84" t="s">
        <v>376</v>
      </c>
      <c r="J6" s="86">
        <v>44994</v>
      </c>
      <c r="K6" s="103"/>
      <c r="L6" s="103"/>
      <c r="M6" s="135"/>
      <c r="N6" s="103"/>
      <c r="O6" s="103"/>
      <c r="P6" s="103"/>
      <c r="Q6" s="103"/>
      <c r="R6" s="103"/>
      <c r="S6" s="103"/>
      <c r="T6" s="103"/>
      <c r="U6" s="103"/>
      <c r="V6" s="103"/>
      <c r="W6" s="103"/>
    </row>
    <row r="7" spans="1:27" x14ac:dyDescent="0.25">
      <c r="A7" s="83" t="s">
        <v>251</v>
      </c>
      <c r="B7" s="4" t="s">
        <v>257</v>
      </c>
      <c r="C7" s="83" t="s">
        <v>377</v>
      </c>
      <c r="D7" s="101">
        <v>87.8</v>
      </c>
      <c r="E7" s="102">
        <f>D7*H7</f>
        <v>108732.6614</v>
      </c>
      <c r="F7" s="102">
        <f>([48]Main!$O$7-[48]Main!$O$8)/JPY</f>
        <v>3147.411085956328</v>
      </c>
      <c r="G7" s="102">
        <f t="shared" si="0"/>
        <v>105585.25031404367</v>
      </c>
      <c r="H7" s="102">
        <f>[48]Main!$O$4</f>
        <v>1238.413</v>
      </c>
      <c r="I7" s="84" t="s">
        <v>376</v>
      </c>
      <c r="J7" s="86">
        <v>44994</v>
      </c>
      <c r="K7" s="103"/>
      <c r="L7" s="103"/>
      <c r="M7" s="135"/>
      <c r="N7" s="103"/>
      <c r="O7" s="103"/>
      <c r="P7" s="103"/>
      <c r="Q7" s="103"/>
      <c r="R7" s="103"/>
      <c r="S7" s="103"/>
      <c r="T7" s="103"/>
      <c r="U7" s="103"/>
      <c r="V7" s="103"/>
      <c r="W7" s="103"/>
    </row>
    <row r="8" spans="1:27" x14ac:dyDescent="0.25">
      <c r="A8" s="83" t="s">
        <v>251</v>
      </c>
      <c r="B8" s="83" t="s">
        <v>261</v>
      </c>
      <c r="C8" s="83" t="s">
        <v>262</v>
      </c>
      <c r="D8" s="101">
        <v>327</v>
      </c>
      <c r="E8" s="102">
        <v>145680</v>
      </c>
      <c r="F8" s="102"/>
      <c r="G8" s="102">
        <f t="shared" si="0"/>
        <v>145680</v>
      </c>
      <c r="H8" s="102"/>
      <c r="I8" s="84"/>
      <c r="J8" s="84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</row>
    <row r="9" spans="1:27" x14ac:dyDescent="0.25">
      <c r="A9" s="83" t="s">
        <v>251</v>
      </c>
      <c r="B9" s="83" t="s">
        <v>170</v>
      </c>
      <c r="C9" s="83" t="s">
        <v>230</v>
      </c>
      <c r="D9" s="88">
        <v>59910</v>
      </c>
      <c r="E9" s="88" cm="1">
        <f t="array" ref="E9">6975000/JPY</f>
        <v>50938.435697071494</v>
      </c>
      <c r="G9" s="102">
        <f t="shared" si="0"/>
        <v>50938.435697071494</v>
      </c>
    </row>
    <row r="10" spans="1:27" x14ac:dyDescent="0.25">
      <c r="A10" s="83" t="s">
        <v>251</v>
      </c>
      <c r="B10" s="83" t="s">
        <v>264</v>
      </c>
      <c r="C10" s="83" t="s">
        <v>265</v>
      </c>
      <c r="D10" s="133">
        <v>81.010000000000005</v>
      </c>
      <c r="E10" s="88">
        <v>52220</v>
      </c>
      <c r="G10" s="102">
        <f t="shared" si="0"/>
        <v>52220</v>
      </c>
    </row>
    <row r="11" spans="1:27" x14ac:dyDescent="0.25">
      <c r="B11" s="83" t="s">
        <v>282</v>
      </c>
      <c r="C11" s="83" t="s">
        <v>283</v>
      </c>
      <c r="D11" s="133">
        <v>98.73</v>
      </c>
      <c r="E11" s="88">
        <v>56400</v>
      </c>
      <c r="G11" s="102">
        <f t="shared" si="0"/>
        <v>56400</v>
      </c>
    </row>
    <row r="12" spans="1:27" x14ac:dyDescent="0.25">
      <c r="A12" s="83" t="s">
        <v>251</v>
      </c>
      <c r="B12" s="4" t="s">
        <v>164</v>
      </c>
      <c r="C12" s="83" t="s">
        <v>165</v>
      </c>
      <c r="D12" s="133">
        <v>142</v>
      </c>
      <c r="E12" s="88">
        <f>+D12*H12</f>
        <v>37516.390202000002</v>
      </c>
      <c r="F12" s="88">
        <f>+[49]Main!$N$5-[49]Main!$N$6</f>
        <v>884</v>
      </c>
      <c r="G12" s="88">
        <f>+E12-F12</f>
        <v>36632.390202000002</v>
      </c>
      <c r="H12" s="88">
        <f>+[49]Main!$N$3</f>
        <v>264.19993099999999</v>
      </c>
      <c r="I12" s="84" t="s">
        <v>610</v>
      </c>
      <c r="J12" s="132">
        <v>45568</v>
      </c>
      <c r="X12" s="83">
        <v>1982</v>
      </c>
    </row>
    <row r="13" spans="1:27" x14ac:dyDescent="0.25">
      <c r="A13" s="83" t="s">
        <v>251</v>
      </c>
      <c r="B13" s="4" t="s">
        <v>76</v>
      </c>
      <c r="C13" s="83" t="s">
        <v>77</v>
      </c>
      <c r="D13" s="101">
        <v>61</v>
      </c>
      <c r="E13" s="102">
        <f>D13*H13</f>
        <v>43432</v>
      </c>
      <c r="F13" s="102">
        <f>[37]Main!$L$5-[37]Main!$L$6</f>
        <v>5157</v>
      </c>
      <c r="G13" s="102">
        <f>+E13-F13</f>
        <v>38275</v>
      </c>
      <c r="H13" s="102">
        <f>[37]Main!$L$3</f>
        <v>712</v>
      </c>
      <c r="I13" s="84" t="s">
        <v>610</v>
      </c>
      <c r="J13" s="132">
        <v>45573</v>
      </c>
      <c r="X13" s="83">
        <v>2004</v>
      </c>
      <c r="Y13" s="83">
        <v>56</v>
      </c>
      <c r="Z13" s="133">
        <f>G13/Y13</f>
        <v>683.48214285714289</v>
      </c>
    </row>
    <row r="14" spans="1:27" x14ac:dyDescent="0.25">
      <c r="B14" s="4" t="s">
        <v>647</v>
      </c>
      <c r="C14" s="83" t="s">
        <v>648</v>
      </c>
      <c r="D14" s="133">
        <v>946.4</v>
      </c>
      <c r="E14" s="88">
        <f>+D14*H14/SEK</f>
        <v>18462.023887362429</v>
      </c>
      <c r="F14" s="88">
        <f>([50]Main!$K$5-[50]Main!$K$6)/SEK</f>
        <v>1011.5074003795067</v>
      </c>
      <c r="G14" s="102">
        <f>+E14-F14</f>
        <v>17450.516486982924</v>
      </c>
      <c r="H14" s="88">
        <f>+[50]Main!$K$3</f>
        <v>205.61045200000001</v>
      </c>
      <c r="I14" s="84" t="s">
        <v>610</v>
      </c>
      <c r="J14" s="132">
        <v>45587</v>
      </c>
    </row>
    <row r="15" spans="1:27" x14ac:dyDescent="0.25">
      <c r="B15" s="83" t="s">
        <v>723</v>
      </c>
      <c r="C15" s="83" t="s">
        <v>328</v>
      </c>
      <c r="D15" s="101"/>
      <c r="E15" s="102"/>
      <c r="F15" s="102"/>
      <c r="G15" s="102"/>
      <c r="H15" s="84"/>
      <c r="I15" s="84"/>
    </row>
    <row r="16" spans="1:27" x14ac:dyDescent="0.25">
      <c r="A16" s="83" t="s">
        <v>251</v>
      </c>
      <c r="B16" s="4" t="s">
        <v>166</v>
      </c>
      <c r="C16" s="83" t="s">
        <v>167</v>
      </c>
      <c r="D16" s="133">
        <v>207</v>
      </c>
      <c r="E16" s="88">
        <f>+D16*H16</f>
        <v>36534.611142000002</v>
      </c>
      <c r="F16" s="88">
        <f>+[51]Main!$I$5-[51]Main!$I$6</f>
        <v>-2258.5</v>
      </c>
      <c r="G16" s="102">
        <f>+E16-F16</f>
        <v>38793.111142000002</v>
      </c>
      <c r="H16" s="88">
        <f>+[51]Main!$I$3</f>
        <v>176.49570600000001</v>
      </c>
      <c r="I16" s="84" t="s">
        <v>664</v>
      </c>
      <c r="J16" s="132">
        <v>45735</v>
      </c>
    </row>
    <row r="17" spans="1:23" x14ac:dyDescent="0.25">
      <c r="A17" s="83" t="s">
        <v>251</v>
      </c>
      <c r="B17" s="83" t="s">
        <v>87</v>
      </c>
      <c r="C17" s="83" t="s">
        <v>88</v>
      </c>
      <c r="D17" s="101">
        <v>45.8</v>
      </c>
      <c r="E17" s="102">
        <v>14330</v>
      </c>
      <c r="F17" s="84"/>
      <c r="G17" s="84"/>
      <c r="H17" s="84"/>
    </row>
    <row r="18" spans="1:23" x14ac:dyDescent="0.25">
      <c r="B18" s="83" t="s">
        <v>727</v>
      </c>
      <c r="C18" s="83" t="s">
        <v>726</v>
      </c>
      <c r="D18" s="101"/>
      <c r="E18" s="102"/>
      <c r="F18" s="84"/>
      <c r="G18" s="84"/>
      <c r="H18" s="84"/>
    </row>
    <row r="19" spans="1:23" x14ac:dyDescent="0.25">
      <c r="A19" s="83" t="s">
        <v>251</v>
      </c>
      <c r="B19" s="83" t="s">
        <v>462</v>
      </c>
      <c r="C19" s="83" t="s">
        <v>463</v>
      </c>
      <c r="D19" s="101"/>
      <c r="E19" s="102"/>
      <c r="F19" s="84"/>
      <c r="G19" s="84"/>
      <c r="H19" s="84"/>
    </row>
    <row r="20" spans="1:23" x14ac:dyDescent="0.25">
      <c r="A20" s="83" t="s">
        <v>251</v>
      </c>
      <c r="B20" s="83" t="s">
        <v>903</v>
      </c>
      <c r="C20" s="83" t="s">
        <v>904</v>
      </c>
      <c r="D20" s="101"/>
      <c r="E20" s="102"/>
      <c r="F20" s="84"/>
      <c r="G20" s="84"/>
      <c r="H20" s="84"/>
    </row>
    <row r="21" spans="1:23" x14ac:dyDescent="0.25">
      <c r="A21" s="83" t="s">
        <v>251</v>
      </c>
      <c r="B21" s="83" t="s">
        <v>797</v>
      </c>
      <c r="C21" s="83" t="s">
        <v>906</v>
      </c>
      <c r="D21" s="101"/>
      <c r="E21" s="102"/>
      <c r="F21" s="84"/>
      <c r="G21" s="84"/>
      <c r="H21" s="84"/>
    </row>
    <row r="22" spans="1:23" x14ac:dyDescent="0.25">
      <c r="A22" s="83" t="s">
        <v>251</v>
      </c>
      <c r="B22" s="83" t="s">
        <v>907</v>
      </c>
      <c r="C22" s="83" t="s">
        <v>908</v>
      </c>
      <c r="D22" s="101"/>
      <c r="E22" s="102"/>
      <c r="F22" s="84"/>
      <c r="G22" s="84"/>
      <c r="H22" s="84"/>
    </row>
    <row r="23" spans="1:23" x14ac:dyDescent="0.25">
      <c r="B23" s="83" t="s">
        <v>468</v>
      </c>
      <c r="D23" s="101"/>
      <c r="E23" s="102"/>
      <c r="F23" s="84"/>
      <c r="G23" s="84"/>
      <c r="H23" s="84"/>
    </row>
    <row r="24" spans="1:23" x14ac:dyDescent="0.25">
      <c r="B24" s="83" t="s">
        <v>470</v>
      </c>
      <c r="C24" s="83" t="s">
        <v>471</v>
      </c>
      <c r="D24" s="101"/>
      <c r="E24" s="102"/>
      <c r="F24" s="84"/>
      <c r="G24" s="84"/>
      <c r="H24" s="84"/>
    </row>
    <row r="25" spans="1:23" x14ac:dyDescent="0.25">
      <c r="B25" s="83" t="s">
        <v>681</v>
      </c>
      <c r="C25" s="83" t="s">
        <v>682</v>
      </c>
      <c r="D25" s="101"/>
      <c r="E25" s="102"/>
      <c r="F25" s="84"/>
      <c r="G25" s="84"/>
      <c r="H25" s="84"/>
    </row>
    <row r="26" spans="1:23" x14ac:dyDescent="0.25">
      <c r="A26" s="83" t="s">
        <v>251</v>
      </c>
      <c r="B26" s="83" t="s">
        <v>505</v>
      </c>
      <c r="C26" s="83" t="s">
        <v>506</v>
      </c>
      <c r="D26" s="101"/>
      <c r="E26" s="102"/>
      <c r="F26" s="84"/>
      <c r="G26" s="84"/>
      <c r="H26" s="84"/>
    </row>
    <row r="27" spans="1:23" x14ac:dyDescent="0.25">
      <c r="B27" s="83" t="s">
        <v>249</v>
      </c>
      <c r="C27" s="83" t="s">
        <v>250</v>
      </c>
      <c r="D27" s="101"/>
      <c r="E27" s="102"/>
      <c r="F27" s="84"/>
      <c r="G27" s="84"/>
      <c r="H27" s="84"/>
    </row>
    <row r="28" spans="1:23" x14ac:dyDescent="0.25">
      <c r="A28" s="83" t="s">
        <v>251</v>
      </c>
      <c r="B28" s="30" t="s">
        <v>74</v>
      </c>
      <c r="C28" s="83" t="s">
        <v>75</v>
      </c>
      <c r="D28" s="101">
        <v>102.23</v>
      </c>
      <c r="E28" s="102">
        <f>+D28*[52]Main!$K$3</f>
        <v>20147.20788088</v>
      </c>
      <c r="F28" s="102">
        <f>+[52]Main!$K$5-[52]Main!$K$6</f>
        <v>3155</v>
      </c>
      <c r="G28" s="102">
        <f>E28-F28</f>
        <v>16992.20788088</v>
      </c>
      <c r="H28" s="102"/>
      <c r="I28" s="84" t="s">
        <v>14</v>
      </c>
      <c r="J28" s="84"/>
      <c r="K28" s="103"/>
      <c r="L28" s="103"/>
      <c r="M28" s="103"/>
      <c r="N28" s="103"/>
      <c r="O28" s="105"/>
      <c r="P28" s="104"/>
      <c r="Q28" s="103"/>
      <c r="R28" s="103"/>
      <c r="S28" s="105"/>
      <c r="T28" s="104"/>
      <c r="U28" s="103"/>
      <c r="V28" s="103"/>
      <c r="W28" s="105"/>
    </row>
    <row r="29" spans="1:23" x14ac:dyDescent="0.25">
      <c r="B29" s="4" t="s">
        <v>649</v>
      </c>
      <c r="C29" s="83" t="s">
        <v>650</v>
      </c>
      <c r="D29" s="106">
        <v>12.55</v>
      </c>
      <c r="E29" s="102">
        <f>+D29*H29</f>
        <v>1641.7643438000002</v>
      </c>
      <c r="F29" s="102">
        <f>+[53]Main!$L$5-[53]Main!$L$6</f>
        <v>585.51599999999996</v>
      </c>
      <c r="G29" s="102">
        <f>+E29-F29</f>
        <v>1056.2483438000004</v>
      </c>
      <c r="H29" s="102">
        <f>+[53]Main!$L$3</f>
        <v>130.81787600000001</v>
      </c>
      <c r="I29" s="84" t="s">
        <v>651</v>
      </c>
      <c r="J29" s="132">
        <v>45629</v>
      </c>
    </row>
    <row r="30" spans="1:23" x14ac:dyDescent="0.25">
      <c r="A30" s="83" t="s">
        <v>251</v>
      </c>
      <c r="B30" s="83" t="s">
        <v>248</v>
      </c>
      <c r="C30" s="83" t="s">
        <v>912</v>
      </c>
      <c r="D30" s="101"/>
      <c r="E30" s="102"/>
      <c r="F30" s="84"/>
      <c r="G30" s="84"/>
      <c r="H30" s="84"/>
      <c r="I30" s="84"/>
      <c r="J30" s="84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</row>
    <row r="31" spans="1:23" x14ac:dyDescent="0.25">
      <c r="B31" s="83" t="s">
        <v>474</v>
      </c>
      <c r="C31" s="83" t="s">
        <v>475</v>
      </c>
      <c r="D31" s="101"/>
      <c r="E31" s="102"/>
      <c r="F31" s="84"/>
      <c r="G31" s="84"/>
      <c r="H31" s="84"/>
      <c r="I31" s="84"/>
      <c r="J31" s="84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</row>
    <row r="32" spans="1:23" x14ac:dyDescent="0.25">
      <c r="D32" s="101"/>
      <c r="E32" s="102"/>
      <c r="F32" s="84"/>
      <c r="G32" s="84"/>
      <c r="H32" s="84"/>
      <c r="I32" s="84"/>
      <c r="J32" s="84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</row>
    <row r="33" spans="2:26" x14ac:dyDescent="0.25">
      <c r="D33" s="101"/>
      <c r="E33" s="102"/>
      <c r="F33" s="84"/>
      <c r="G33" s="84"/>
      <c r="H33" s="84"/>
      <c r="I33" s="84"/>
      <c r="J33" s="84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</row>
    <row r="34" spans="2:26" x14ac:dyDescent="0.25">
      <c r="B34" s="83" t="s">
        <v>54</v>
      </c>
      <c r="D34" s="101"/>
      <c r="E34" s="102">
        <v>31500</v>
      </c>
      <c r="G34" s="88">
        <f>E34</f>
        <v>31500</v>
      </c>
      <c r="Y34" s="83">
        <v>270</v>
      </c>
      <c r="Z34" s="133">
        <f>G34/Y34</f>
        <v>116.66666666666667</v>
      </c>
    </row>
    <row r="35" spans="2:26" x14ac:dyDescent="0.25">
      <c r="B35" s="83" t="s">
        <v>57</v>
      </c>
      <c r="D35" s="101"/>
      <c r="E35" s="102">
        <v>27000</v>
      </c>
      <c r="F35" s="84"/>
      <c r="G35" s="84"/>
      <c r="H35" s="84"/>
      <c r="I35" s="84"/>
      <c r="J35" s="84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</row>
    <row r="36" spans="2:26" x14ac:dyDescent="0.25">
      <c r="B36" s="83" t="s">
        <v>108</v>
      </c>
      <c r="D36" s="101"/>
      <c r="E36" s="102">
        <v>10000</v>
      </c>
      <c r="F36" s="84"/>
      <c r="G36" s="84"/>
      <c r="H36" s="84"/>
      <c r="I36" s="84"/>
      <c r="J36" s="84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</row>
    <row r="37" spans="2:26" x14ac:dyDescent="0.25">
      <c r="B37" s="83" t="s">
        <v>247</v>
      </c>
    </row>
    <row r="38" spans="2:26" x14ac:dyDescent="0.25">
      <c r="B38" s="83" t="s">
        <v>396</v>
      </c>
    </row>
    <row r="39" spans="2:26" x14ac:dyDescent="0.25">
      <c r="B39" s="83" t="s">
        <v>458</v>
      </c>
    </row>
    <row r="40" spans="2:26" x14ac:dyDescent="0.25">
      <c r="B40" s="83" t="s">
        <v>439</v>
      </c>
      <c r="E40" s="83">
        <v>100</v>
      </c>
      <c r="H40" s="83" t="s">
        <v>440</v>
      </c>
    </row>
    <row r="41" spans="2:26" x14ac:dyDescent="0.25">
      <c r="B41" s="83" t="s">
        <v>459</v>
      </c>
      <c r="J41" s="83" t="s">
        <v>460</v>
      </c>
    </row>
    <row r="42" spans="2:26" x14ac:dyDescent="0.25">
      <c r="B42" s="83" t="s">
        <v>464</v>
      </c>
    </row>
    <row r="43" spans="2:26" x14ac:dyDescent="0.25">
      <c r="B43" s="83" t="s">
        <v>465</v>
      </c>
    </row>
    <row r="44" spans="2:26" x14ac:dyDescent="0.25">
      <c r="B44" s="83" t="s">
        <v>466</v>
      </c>
    </row>
    <row r="45" spans="2:26" x14ac:dyDescent="0.25">
      <c r="B45" s="83" t="s">
        <v>472</v>
      </c>
      <c r="J45" s="83" t="s">
        <v>473</v>
      </c>
    </row>
    <row r="46" spans="2:26" x14ac:dyDescent="0.25">
      <c r="B46" s="83" t="s">
        <v>467</v>
      </c>
    </row>
    <row r="47" spans="2:26" x14ac:dyDescent="0.25">
      <c r="B47" s="83" t="s">
        <v>469</v>
      </c>
    </row>
    <row r="49" spans="2:2" x14ac:dyDescent="0.25">
      <c r="B49" s="83" t="s">
        <v>457</v>
      </c>
    </row>
  </sheetData>
  <hyperlinks>
    <hyperlink ref="A1" location="Main!A1" display="Main" xr:uid="{B2E999A0-B9C6-426F-B868-4B47C66D3C76}"/>
    <hyperlink ref="B13" r:id="rId1" xr:uid="{4D4AAA00-BFE8-4498-9D01-136889AF20D4}"/>
    <hyperlink ref="B3" r:id="rId2" xr:uid="{3976EBF1-944B-4446-8A82-A83B8F045357}"/>
    <hyperlink ref="B4" r:id="rId3" xr:uid="{F038AE55-03C6-4C11-AB9A-E55BDED9EAEB}"/>
    <hyperlink ref="B12" r:id="rId4" xr:uid="{7C332E55-E10B-4AF1-A314-5F96A0E9060B}"/>
    <hyperlink ref="B5" r:id="rId5" xr:uid="{D15C9016-D909-4B61-8E61-89DF546A9452}"/>
    <hyperlink ref="B28" r:id="rId6" xr:uid="{B43B07AD-918B-4E3C-B6FF-2D0A1726D08C}"/>
    <hyperlink ref="B6" r:id="rId7" xr:uid="{C317DCAB-F486-4C03-A390-844EB230A084}"/>
    <hyperlink ref="B7" r:id="rId8" xr:uid="{B27274A8-24B6-4DB9-826D-7802A0C1EEB1}"/>
    <hyperlink ref="B14" r:id="rId9" xr:uid="{B864AE00-7FBB-43E0-B043-6C639E787196}"/>
    <hyperlink ref="B29" r:id="rId10" xr:uid="{98BBC049-D227-42DD-8062-A881C025E779}"/>
    <hyperlink ref="B16" r:id="rId11" xr:uid="{3864C444-9E69-4A03-9FA4-0BCF86843BA6}"/>
  </hyperlinks>
  <pageMargins left="0.7" right="0.7" top="0.75" bottom="0.75" header="0.3" footer="0.3"/>
  <pageSetup orientation="portrait" r:id="rId1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841C-1187-4786-8CDA-18459BF1140B}">
  <dimension ref="A1:Z62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2" sqref="C12"/>
    </sheetView>
  </sheetViews>
  <sheetFormatPr defaultColWidth="9.1796875" defaultRowHeight="12.5" x14ac:dyDescent="0.25"/>
  <cols>
    <col min="1" max="1" width="5" style="83" bestFit="1" customWidth="1"/>
    <col min="2" max="2" width="18.26953125" style="83" customWidth="1"/>
    <col min="3" max="3" width="10.453125" style="83" bestFit="1" customWidth="1"/>
    <col min="4" max="4" width="9.1796875" style="84"/>
    <col min="5" max="5" width="9.1796875" style="102"/>
    <col min="6" max="7" width="9.1796875" style="84"/>
    <col min="8" max="8" width="9.1796875" style="102"/>
    <col min="9" max="9" width="9.1796875" style="84"/>
    <col min="10" max="10" width="10.453125" style="83" bestFit="1" customWidth="1"/>
    <col min="11" max="16384" width="9.1796875" style="83"/>
  </cols>
  <sheetData>
    <row r="1" spans="1:26" x14ac:dyDescent="0.25">
      <c r="A1" s="4" t="s">
        <v>142</v>
      </c>
    </row>
    <row r="2" spans="1:26" x14ac:dyDescent="0.25">
      <c r="B2" s="111" t="s">
        <v>0</v>
      </c>
      <c r="C2" s="112" t="s">
        <v>1</v>
      </c>
      <c r="D2" s="113" t="s">
        <v>2</v>
      </c>
      <c r="E2" s="114" t="s">
        <v>3</v>
      </c>
      <c r="F2" s="115" t="s">
        <v>4</v>
      </c>
      <c r="G2" s="115" t="s">
        <v>5</v>
      </c>
      <c r="H2" s="114" t="s">
        <v>211</v>
      </c>
      <c r="I2" s="115" t="s">
        <v>6</v>
      </c>
      <c r="J2" s="115" t="s">
        <v>222</v>
      </c>
      <c r="K2" s="116" t="s">
        <v>206</v>
      </c>
      <c r="L2" s="116" t="s">
        <v>210</v>
      </c>
      <c r="M2" s="116" t="s">
        <v>207</v>
      </c>
      <c r="N2" s="116" t="s">
        <v>208</v>
      </c>
      <c r="O2" s="117" t="s">
        <v>209</v>
      </c>
      <c r="P2" s="118" t="s">
        <v>227</v>
      </c>
      <c r="Q2" s="116" t="s">
        <v>228</v>
      </c>
      <c r="R2" s="116" t="s">
        <v>229</v>
      </c>
      <c r="S2" s="117">
        <v>2025</v>
      </c>
      <c r="T2" s="116">
        <v>2026</v>
      </c>
      <c r="U2" s="118" t="s">
        <v>226</v>
      </c>
      <c r="V2" s="116">
        <v>2023</v>
      </c>
      <c r="W2" s="116">
        <v>2024</v>
      </c>
      <c r="X2" s="117">
        <v>2025</v>
      </c>
      <c r="Y2" s="117">
        <v>2026</v>
      </c>
      <c r="Z2" s="134" t="s">
        <v>212</v>
      </c>
    </row>
    <row r="3" spans="1:26" s="88" customFormat="1" x14ac:dyDescent="0.25">
      <c r="A3" s="83"/>
      <c r="B3" s="45" t="s">
        <v>161</v>
      </c>
      <c r="C3" s="88" t="s">
        <v>162</v>
      </c>
      <c r="D3" s="106">
        <v>315</v>
      </c>
      <c r="E3" s="102">
        <f>+D3*H3</f>
        <v>654885</v>
      </c>
      <c r="F3" s="102">
        <f>+[54]Main!$K$5-[54]Main!$K$6</f>
        <v>-2185</v>
      </c>
      <c r="G3" s="102">
        <f>+E3-F3</f>
        <v>657070</v>
      </c>
      <c r="H3" s="102">
        <f>+[54]Main!$K$3</f>
        <v>2079</v>
      </c>
      <c r="I3" s="102" t="s">
        <v>664</v>
      </c>
      <c r="J3" s="86">
        <v>45575</v>
      </c>
      <c r="S3" s="138">
        <f t="shared" ref="S3:S14" si="0">($G3/$H3)/X3</f>
        <v>27.969113809821774</v>
      </c>
      <c r="T3" s="138">
        <f t="shared" ref="T3:T14" si="1">($G3/$H3)/Y3</f>
        <v>24.768886054152514</v>
      </c>
      <c r="X3" s="133">
        <v>11.3</v>
      </c>
      <c r="Y3" s="133">
        <v>12.76</v>
      </c>
    </row>
    <row r="4" spans="1:26" s="88" customFormat="1" x14ac:dyDescent="0.25">
      <c r="A4" s="83"/>
      <c r="B4" s="45" t="s">
        <v>163</v>
      </c>
      <c r="C4" s="88" t="s">
        <v>312</v>
      </c>
      <c r="D4" s="106">
        <v>486.54</v>
      </c>
      <c r="E4" s="102">
        <v>329430</v>
      </c>
      <c r="F4" s="102">
        <f>[55]Main!$J$5-[55]Main!$J$6</f>
        <v>-9939</v>
      </c>
      <c r="G4" s="102">
        <f>+E4-F4</f>
        <v>339369</v>
      </c>
      <c r="H4" s="102">
        <f>+[55]Main!$J$3</f>
        <v>904.01183700000001</v>
      </c>
      <c r="I4" s="102" t="s">
        <v>664</v>
      </c>
      <c r="S4" s="138">
        <f t="shared" si="0"/>
        <v>23.625127142877293</v>
      </c>
      <c r="T4" s="138">
        <f t="shared" si="1"/>
        <v>20.085782252558595</v>
      </c>
      <c r="X4" s="133">
        <v>15.89</v>
      </c>
      <c r="Y4" s="133">
        <v>18.690000000000001</v>
      </c>
    </row>
    <row r="5" spans="1:26" x14ac:dyDescent="0.25">
      <c r="A5" s="83" t="s">
        <v>251</v>
      </c>
      <c r="B5" s="34" t="s">
        <v>26</v>
      </c>
      <c r="C5" s="83" t="s">
        <v>27</v>
      </c>
      <c r="D5" s="101">
        <v>551.38</v>
      </c>
      <c r="E5" s="102">
        <f>+D5*H5</f>
        <v>154386.4</v>
      </c>
      <c r="F5" s="102">
        <f>[56]Main!$L$5-[56]Main!$L$6</f>
        <v>-1833</v>
      </c>
      <c r="G5" s="102">
        <f>E5-F5</f>
        <v>156219.4</v>
      </c>
      <c r="H5" s="102">
        <f>+[56]Main!$L$3</f>
        <v>280</v>
      </c>
      <c r="I5" s="84" t="s">
        <v>610</v>
      </c>
      <c r="J5" s="86">
        <v>45573</v>
      </c>
      <c r="K5" s="103"/>
      <c r="L5" s="103"/>
      <c r="M5" s="103"/>
      <c r="N5" s="103"/>
      <c r="Q5" s="103"/>
      <c r="R5" s="103"/>
      <c r="S5" s="138">
        <f t="shared" si="0"/>
        <v>28.788773404098482</v>
      </c>
      <c r="T5" s="138">
        <f t="shared" si="1"/>
        <v>25.360292207792209</v>
      </c>
      <c r="U5" s="103"/>
      <c r="V5" s="103"/>
      <c r="W5" s="103"/>
      <c r="X5" s="106">
        <v>19.38</v>
      </c>
      <c r="Y5" s="133">
        <v>22</v>
      </c>
      <c r="Z5" s="83">
        <v>1984</v>
      </c>
    </row>
    <row r="6" spans="1:26" s="88" customFormat="1" x14ac:dyDescent="0.25">
      <c r="A6" s="83" t="s">
        <v>251</v>
      </c>
      <c r="B6" s="45" t="s">
        <v>255</v>
      </c>
      <c r="C6" s="88" t="s">
        <v>256</v>
      </c>
      <c r="D6" s="106">
        <v>446.75</v>
      </c>
      <c r="E6" s="102">
        <f>+D6*H6</f>
        <v>137509.65</v>
      </c>
      <c r="F6" s="102">
        <f>+[57]Main!$Q$5-[57]Main!$Q$6</f>
        <v>-7938</v>
      </c>
      <c r="G6" s="102">
        <f>+E6-F6</f>
        <v>145447.65</v>
      </c>
      <c r="H6" s="102">
        <f>+[57]Main!$Q$3</f>
        <v>307.8</v>
      </c>
      <c r="I6" s="102" t="s">
        <v>664</v>
      </c>
      <c r="J6" s="86">
        <v>45700</v>
      </c>
      <c r="O6" s="83"/>
      <c r="P6" s="83"/>
      <c r="S6" s="138">
        <f t="shared" si="0"/>
        <v>27.553322080711983</v>
      </c>
      <c r="T6" s="138">
        <f t="shared" si="1"/>
        <v>24.585820691165999</v>
      </c>
      <c r="X6" s="106">
        <v>17.149999999999999</v>
      </c>
      <c r="Y6" s="133">
        <v>19.22</v>
      </c>
      <c r="Z6" s="83">
        <v>1925</v>
      </c>
    </row>
    <row r="7" spans="1:26" s="88" customFormat="1" x14ac:dyDescent="0.25">
      <c r="A7" s="83"/>
      <c r="B7" s="88" t="s">
        <v>259</v>
      </c>
      <c r="C7" s="88" t="s">
        <v>260</v>
      </c>
      <c r="D7" s="106">
        <v>280.72000000000003</v>
      </c>
      <c r="E7" s="102">
        <f>+D7*H7</f>
        <v>114561.83200000002</v>
      </c>
      <c r="F7" s="102"/>
      <c r="G7" s="102">
        <f>E7-F7</f>
        <v>114561.83200000002</v>
      </c>
      <c r="H7" s="102">
        <v>408.1</v>
      </c>
      <c r="I7" s="102"/>
      <c r="O7" s="83"/>
      <c r="P7" s="83"/>
      <c r="S7" s="138">
        <f t="shared" si="0"/>
        <v>28.213065326633171</v>
      </c>
      <c r="T7" s="138">
        <f t="shared" si="1"/>
        <v>25.777777777777779</v>
      </c>
      <c r="X7" s="106">
        <v>9.9499999999999993</v>
      </c>
      <c r="Y7" s="133">
        <v>10.89</v>
      </c>
    </row>
    <row r="8" spans="1:26" x14ac:dyDescent="0.25">
      <c r="B8" s="83" t="s">
        <v>263</v>
      </c>
      <c r="C8" s="83" t="s">
        <v>634</v>
      </c>
      <c r="D8" s="84">
        <v>198.02</v>
      </c>
      <c r="E8" s="102">
        <f>+D8*H8</f>
        <v>111683.28</v>
      </c>
      <c r="G8" s="102">
        <f>E8-F8</f>
        <v>111683.28</v>
      </c>
      <c r="H8" s="102">
        <v>564</v>
      </c>
      <c r="S8" s="138">
        <f t="shared" si="0"/>
        <v>19.337890625</v>
      </c>
      <c r="T8" s="138">
        <f t="shared" si="1"/>
        <v>16.501666666666669</v>
      </c>
      <c r="X8" s="133">
        <v>10.24</v>
      </c>
      <c r="Y8" s="133">
        <v>12</v>
      </c>
    </row>
    <row r="9" spans="1:26" x14ac:dyDescent="0.25">
      <c r="B9" s="83" t="s">
        <v>266</v>
      </c>
      <c r="C9" s="83" t="s">
        <v>267</v>
      </c>
      <c r="D9" s="84">
        <v>153.22</v>
      </c>
      <c r="E9" s="102">
        <f>+D9*H9</f>
        <v>87978.923999999999</v>
      </c>
      <c r="G9" s="102">
        <f>+E9-F9</f>
        <v>87978.923999999999</v>
      </c>
      <c r="H9" s="102">
        <v>574.20000000000005</v>
      </c>
      <c r="S9" s="138">
        <f t="shared" si="0"/>
        <v>22.565537555228275</v>
      </c>
      <c r="T9" s="138">
        <f t="shared" si="1"/>
        <v>20.240422721268164</v>
      </c>
      <c r="X9" s="133">
        <v>6.79</v>
      </c>
      <c r="Y9" s="133">
        <v>7.57</v>
      </c>
    </row>
    <row r="10" spans="1:26" s="88" customFormat="1" x14ac:dyDescent="0.25">
      <c r="A10" s="83"/>
      <c r="B10" s="45" t="s">
        <v>31</v>
      </c>
      <c r="C10" s="88" t="s">
        <v>32</v>
      </c>
      <c r="D10" s="106">
        <v>59.35</v>
      </c>
      <c r="E10" s="102">
        <f>D10*H10</f>
        <v>60180.9</v>
      </c>
      <c r="F10" s="102">
        <f>[58]Main!$M$5-[58]Main!$M$6</f>
        <v>5527</v>
      </c>
      <c r="G10" s="102">
        <f>E10-F10</f>
        <v>54653.9</v>
      </c>
      <c r="H10" s="102">
        <f>[58]Main!$M$3</f>
        <v>1014</v>
      </c>
      <c r="I10" s="102" t="s">
        <v>664</v>
      </c>
      <c r="J10" s="86">
        <v>45755</v>
      </c>
      <c r="O10" s="83"/>
      <c r="P10" s="83"/>
      <c r="S10" s="138">
        <f t="shared" si="0"/>
        <v>10.715568521808008</v>
      </c>
      <c r="T10" s="138">
        <f t="shared" si="1"/>
        <v>9.5566151887755826</v>
      </c>
      <c r="X10" s="133">
        <v>5.03</v>
      </c>
      <c r="Y10" s="133">
        <v>5.64</v>
      </c>
    </row>
    <row r="11" spans="1:26" s="88" customFormat="1" x14ac:dyDescent="0.25">
      <c r="A11" s="83"/>
      <c r="B11" s="45" t="s">
        <v>241</v>
      </c>
      <c r="C11" s="88" t="s">
        <v>665</v>
      </c>
      <c r="D11" s="106">
        <v>46.66</v>
      </c>
      <c r="E11" s="102">
        <f>+D11*H11</f>
        <v>28915.202000000001</v>
      </c>
      <c r="F11" s="102"/>
      <c r="G11" s="102">
        <f>+E11-F11</f>
        <v>28915.202000000001</v>
      </c>
      <c r="H11" s="102">
        <v>619.70000000000005</v>
      </c>
      <c r="I11" s="102"/>
      <c r="J11" s="86">
        <v>45779</v>
      </c>
      <c r="O11" s="83"/>
      <c r="P11" s="83"/>
      <c r="S11" s="138">
        <f t="shared" si="0"/>
        <v>10.604545454545454</v>
      </c>
      <c r="T11" s="138">
        <f t="shared" si="1"/>
        <v>8.6088560885608842</v>
      </c>
      <c r="X11" s="133">
        <v>4.4000000000000004</v>
      </c>
      <c r="Y11" s="133">
        <v>5.42</v>
      </c>
    </row>
    <row r="12" spans="1:26" s="88" customFormat="1" x14ac:dyDescent="0.25">
      <c r="A12" s="83" t="s">
        <v>251</v>
      </c>
      <c r="B12" s="88" t="s">
        <v>268</v>
      </c>
      <c r="C12" s="88" t="s">
        <v>269</v>
      </c>
      <c r="D12" s="106">
        <v>138.08000000000001</v>
      </c>
      <c r="E12" s="102">
        <f>+D12*H12</f>
        <v>49722.608000000007</v>
      </c>
      <c r="F12" s="102"/>
      <c r="G12" s="102">
        <f>+E12-F12</f>
        <v>49722.608000000007</v>
      </c>
      <c r="H12" s="102">
        <v>360.1</v>
      </c>
      <c r="I12" s="102"/>
      <c r="O12" s="83"/>
      <c r="P12" s="83"/>
      <c r="S12" s="138">
        <f t="shared" si="0"/>
        <v>27.616000000000003</v>
      </c>
      <c r="T12" s="138">
        <f t="shared" si="1"/>
        <v>26.003766478342754</v>
      </c>
      <c r="X12" s="133">
        <v>5</v>
      </c>
      <c r="Y12" s="133">
        <v>5.31</v>
      </c>
    </row>
    <row r="13" spans="1:26" s="88" customFormat="1" x14ac:dyDescent="0.25">
      <c r="A13" s="83" t="s">
        <v>251</v>
      </c>
      <c r="B13" s="88" t="s">
        <v>286</v>
      </c>
      <c r="C13" s="88" t="s">
        <v>286</v>
      </c>
      <c r="D13" s="106">
        <v>512</v>
      </c>
      <c r="E13" s="102">
        <f>+D13*H13</f>
        <v>39782.400000000001</v>
      </c>
      <c r="F13" s="102"/>
      <c r="G13" s="102">
        <f>+E13-F13</f>
        <v>39782.400000000001</v>
      </c>
      <c r="H13" s="102">
        <v>77.7</v>
      </c>
      <c r="I13" s="102"/>
      <c r="O13" s="83"/>
      <c r="P13" s="83"/>
      <c r="S13" s="138">
        <f t="shared" si="0"/>
        <v>30.206489675516224</v>
      </c>
      <c r="T13" s="138">
        <f t="shared" si="1"/>
        <v>26.736292428198436</v>
      </c>
      <c r="X13" s="133">
        <v>16.95</v>
      </c>
      <c r="Y13" s="133">
        <v>19.149999999999999</v>
      </c>
    </row>
    <row r="14" spans="1:26" s="88" customFormat="1" x14ac:dyDescent="0.25">
      <c r="A14" s="83"/>
      <c r="B14" s="45" t="s">
        <v>626</v>
      </c>
      <c r="C14" s="88" t="s">
        <v>627</v>
      </c>
      <c r="D14" s="106">
        <v>35.299999999999997</v>
      </c>
      <c r="E14" s="102">
        <f>+D14*H14</f>
        <v>31224.756199999996</v>
      </c>
      <c r="F14" s="102">
        <f>+[59]Main!$L$5-[59]Main!$L$6</f>
        <v>7251</v>
      </c>
      <c r="G14" s="102">
        <f>+E14-F14</f>
        <v>23973.756199999996</v>
      </c>
      <c r="H14" s="102">
        <f>+[59]Main!$L$3</f>
        <v>884.55399999999997</v>
      </c>
      <c r="I14" s="102" t="s">
        <v>610</v>
      </c>
      <c r="J14" s="86">
        <v>45559</v>
      </c>
      <c r="O14" s="83"/>
      <c r="P14" s="83"/>
      <c r="S14" s="138">
        <f t="shared" si="0"/>
        <v>20.37793125292945</v>
      </c>
      <c r="T14" s="138">
        <f t="shared" si="1"/>
        <v>16.730029979256894</v>
      </c>
      <c r="X14" s="133">
        <v>1.33</v>
      </c>
      <c r="Y14" s="133">
        <v>1.62</v>
      </c>
    </row>
    <row r="15" spans="1:26" s="88" customFormat="1" x14ac:dyDescent="0.25">
      <c r="A15" s="83"/>
      <c r="B15" s="88" t="s">
        <v>270</v>
      </c>
      <c r="C15" s="88" t="s">
        <v>271</v>
      </c>
      <c r="D15" s="106"/>
      <c r="E15" s="102"/>
      <c r="F15" s="102"/>
      <c r="G15" s="102"/>
      <c r="H15" s="102"/>
      <c r="I15" s="102"/>
      <c r="O15" s="83"/>
      <c r="P15" s="83"/>
      <c r="X15" s="133"/>
      <c r="Y15" s="133"/>
    </row>
    <row r="16" spans="1:26" s="88" customFormat="1" x14ac:dyDescent="0.25">
      <c r="A16" s="83"/>
      <c r="B16" s="88" t="s">
        <v>704</v>
      </c>
      <c r="C16" s="88" t="s">
        <v>705</v>
      </c>
      <c r="D16" s="106"/>
      <c r="E16" s="102"/>
      <c r="F16" s="102"/>
      <c r="G16" s="102"/>
      <c r="H16" s="102"/>
      <c r="I16" s="102"/>
      <c r="O16" s="83"/>
      <c r="P16" s="83"/>
      <c r="X16" s="133"/>
      <c r="Y16" s="133"/>
    </row>
    <row r="17" spans="1:25" s="88" customFormat="1" x14ac:dyDescent="0.25">
      <c r="A17" s="83"/>
      <c r="B17" s="88" t="s">
        <v>677</v>
      </c>
      <c r="C17" s="88" t="s">
        <v>678</v>
      </c>
      <c r="D17" s="106"/>
      <c r="E17" s="102"/>
      <c r="F17" s="102"/>
      <c r="G17" s="102"/>
      <c r="H17" s="102"/>
      <c r="I17" s="102"/>
      <c r="O17" s="83"/>
      <c r="P17" s="83"/>
      <c r="X17" s="133"/>
      <c r="Y17" s="133"/>
    </row>
    <row r="18" spans="1:25" s="88" customFormat="1" x14ac:dyDescent="0.25">
      <c r="A18" s="83" t="s">
        <v>251</v>
      </c>
      <c r="B18" s="88" t="s">
        <v>679</v>
      </c>
      <c r="C18" s="88" t="s">
        <v>680</v>
      </c>
      <c r="D18" s="106"/>
      <c r="E18" s="102"/>
      <c r="F18" s="102"/>
      <c r="G18" s="102"/>
      <c r="H18" s="102"/>
      <c r="I18" s="102"/>
      <c r="O18" s="83"/>
      <c r="P18" s="83"/>
      <c r="X18" s="133"/>
      <c r="Y18" s="133"/>
    </row>
    <row r="19" spans="1:25" s="88" customFormat="1" x14ac:dyDescent="0.25">
      <c r="A19" s="83"/>
      <c r="B19" s="88" t="s">
        <v>101</v>
      </c>
      <c r="C19" s="88" t="s">
        <v>102</v>
      </c>
      <c r="D19" s="106"/>
      <c r="E19" s="102"/>
      <c r="F19" s="102"/>
      <c r="G19" s="102"/>
      <c r="H19" s="102"/>
      <c r="I19" s="102"/>
      <c r="O19" s="83"/>
      <c r="P19" s="83"/>
      <c r="X19" s="133"/>
      <c r="Y19" s="133"/>
    </row>
    <row r="20" spans="1:25" s="88" customFormat="1" x14ac:dyDescent="0.25">
      <c r="A20" s="83"/>
      <c r="B20" s="88" t="s">
        <v>287</v>
      </c>
      <c r="C20" s="88" t="s">
        <v>288</v>
      </c>
      <c r="D20" s="106">
        <v>98.94</v>
      </c>
      <c r="E20" s="102"/>
      <c r="F20" s="102"/>
      <c r="G20" s="102"/>
      <c r="H20" s="102"/>
      <c r="I20" s="102"/>
      <c r="O20" s="83"/>
      <c r="P20" s="83"/>
      <c r="X20" s="133"/>
      <c r="Y20" s="133"/>
    </row>
    <row r="21" spans="1:25" s="88" customFormat="1" x14ac:dyDescent="0.25">
      <c r="A21" s="83" t="s">
        <v>251</v>
      </c>
      <c r="B21" s="88" t="s">
        <v>673</v>
      </c>
      <c r="C21" s="88" t="s">
        <v>674</v>
      </c>
      <c r="D21" s="106"/>
      <c r="E21" s="102"/>
      <c r="F21" s="102"/>
      <c r="G21" s="102"/>
      <c r="H21" s="102"/>
      <c r="I21" s="102"/>
      <c r="O21" s="83"/>
      <c r="P21" s="83"/>
      <c r="X21" s="133"/>
      <c r="Y21" s="133"/>
    </row>
    <row r="22" spans="1:25" s="88" customFormat="1" x14ac:dyDescent="0.25">
      <c r="A22" s="83"/>
      <c r="B22" s="88" t="s">
        <v>291</v>
      </c>
      <c r="C22" s="88" t="s">
        <v>292</v>
      </c>
      <c r="D22" s="106"/>
      <c r="E22" s="102"/>
      <c r="F22" s="102"/>
      <c r="G22" s="102"/>
      <c r="H22" s="102"/>
      <c r="I22" s="102"/>
      <c r="O22" s="83"/>
      <c r="P22" s="83"/>
    </row>
    <row r="23" spans="1:25" s="88" customFormat="1" x14ac:dyDescent="0.25">
      <c r="A23" s="83"/>
      <c r="B23" s="88" t="s">
        <v>632</v>
      </c>
      <c r="C23" s="88" t="s">
        <v>633</v>
      </c>
      <c r="D23" s="106">
        <v>27.5</v>
      </c>
      <c r="E23" s="102"/>
      <c r="F23" s="102"/>
      <c r="G23" s="102"/>
      <c r="H23" s="102"/>
      <c r="I23" s="102"/>
      <c r="O23" s="83"/>
      <c r="P23" s="83"/>
    </row>
    <row r="24" spans="1:25" s="88" customFormat="1" x14ac:dyDescent="0.25">
      <c r="A24" s="83"/>
      <c r="B24" s="88" t="s">
        <v>294</v>
      </c>
      <c r="C24" s="88" t="s">
        <v>295</v>
      </c>
      <c r="D24" s="106">
        <v>142.76</v>
      </c>
      <c r="E24" s="102"/>
      <c r="F24" s="102"/>
      <c r="G24" s="102"/>
      <c r="H24" s="102"/>
      <c r="I24" s="102"/>
      <c r="O24" s="83"/>
      <c r="P24" s="83"/>
    </row>
    <row r="25" spans="1:25" s="88" customFormat="1" x14ac:dyDescent="0.25">
      <c r="A25" s="83"/>
      <c r="B25" s="88" t="s">
        <v>304</v>
      </c>
      <c r="C25" s="88" t="s">
        <v>305</v>
      </c>
      <c r="D25" s="106">
        <v>72.069999999999993</v>
      </c>
      <c r="E25" s="102"/>
      <c r="F25" s="102"/>
      <c r="G25" s="102"/>
      <c r="H25" s="102"/>
      <c r="I25" s="102"/>
      <c r="O25" s="83"/>
      <c r="P25" s="83"/>
    </row>
    <row r="26" spans="1:25" s="88" customFormat="1" x14ac:dyDescent="0.25">
      <c r="A26" s="83"/>
      <c r="B26" s="88" t="s">
        <v>70</v>
      </c>
      <c r="C26" s="88" t="s">
        <v>71</v>
      </c>
      <c r="D26" s="106">
        <v>68.930000000000007</v>
      </c>
      <c r="E26" s="102">
        <v>18053</v>
      </c>
      <c r="F26" s="102"/>
      <c r="G26" s="102"/>
      <c r="H26" s="102"/>
      <c r="I26" s="102"/>
      <c r="O26" s="83"/>
      <c r="P26" s="83"/>
    </row>
    <row r="27" spans="1:25" s="88" customFormat="1" x14ac:dyDescent="0.25">
      <c r="A27" s="83"/>
      <c r="B27" s="88" t="s">
        <v>693</v>
      </c>
      <c r="C27" s="88" t="s">
        <v>694</v>
      </c>
      <c r="D27" s="106"/>
      <c r="E27" s="102"/>
      <c r="F27" s="102"/>
      <c r="G27" s="102"/>
      <c r="H27" s="102"/>
      <c r="I27" s="102"/>
      <c r="O27" s="83"/>
      <c r="P27" s="83"/>
    </row>
    <row r="28" spans="1:25" s="88" customFormat="1" x14ac:dyDescent="0.25">
      <c r="A28" s="83"/>
      <c r="B28" s="88" t="s">
        <v>724</v>
      </c>
      <c r="C28" s="88" t="s">
        <v>725</v>
      </c>
      <c r="D28" s="106"/>
      <c r="E28" s="102"/>
      <c r="F28" s="102"/>
      <c r="G28" s="102"/>
      <c r="H28" s="102"/>
      <c r="I28" s="102"/>
      <c r="O28" s="83"/>
      <c r="P28" s="83"/>
    </row>
    <row r="29" spans="1:25" s="88" customFormat="1" x14ac:dyDescent="0.25">
      <c r="A29" s="83" t="s">
        <v>251</v>
      </c>
      <c r="B29" s="88" t="s">
        <v>910</v>
      </c>
      <c r="C29" s="88" t="s">
        <v>911</v>
      </c>
      <c r="D29" s="106"/>
      <c r="E29" s="102"/>
      <c r="F29" s="102"/>
      <c r="G29" s="102"/>
      <c r="H29" s="102"/>
      <c r="I29" s="102"/>
      <c r="O29" s="83"/>
      <c r="P29" s="83"/>
    </row>
    <row r="30" spans="1:25" s="88" customFormat="1" x14ac:dyDescent="0.25">
      <c r="A30" s="83"/>
      <c r="B30" s="88" t="s">
        <v>82</v>
      </c>
      <c r="C30" s="88" t="s">
        <v>83</v>
      </c>
      <c r="D30" s="106">
        <v>58.75</v>
      </c>
      <c r="E30" s="102">
        <v>14980</v>
      </c>
      <c r="F30" s="102"/>
      <c r="G30" s="102"/>
      <c r="H30" s="102"/>
      <c r="I30" s="102"/>
      <c r="O30" s="83"/>
      <c r="P30" s="83"/>
    </row>
    <row r="31" spans="1:25" s="88" customFormat="1" x14ac:dyDescent="0.25">
      <c r="A31" s="83"/>
      <c r="B31" s="88" t="s">
        <v>103</v>
      </c>
      <c r="C31" s="88" t="s">
        <v>104</v>
      </c>
      <c r="D31" s="106">
        <v>184.44</v>
      </c>
      <c r="E31" s="102">
        <v>10400</v>
      </c>
      <c r="F31" s="102"/>
      <c r="G31" s="102"/>
      <c r="H31" s="102"/>
      <c r="I31" s="102"/>
      <c r="O31" s="83"/>
      <c r="P31" s="83"/>
    </row>
    <row r="32" spans="1:25" s="88" customFormat="1" x14ac:dyDescent="0.25">
      <c r="A32" s="83"/>
      <c r="B32" s="88" t="s">
        <v>751</v>
      </c>
      <c r="C32" s="88" t="s">
        <v>914</v>
      </c>
      <c r="D32" s="106"/>
      <c r="E32" s="102"/>
      <c r="F32" s="102"/>
      <c r="G32" s="102"/>
      <c r="H32" s="102"/>
      <c r="I32" s="102"/>
      <c r="O32" s="83"/>
      <c r="P32" s="83"/>
    </row>
    <row r="33" spans="1:25" x14ac:dyDescent="0.25">
      <c r="B33" s="85" t="s">
        <v>298</v>
      </c>
      <c r="C33" s="83" t="s">
        <v>299</v>
      </c>
      <c r="D33" s="101">
        <v>175.2</v>
      </c>
      <c r="E33" s="102">
        <v>27500</v>
      </c>
      <c r="F33" s="102"/>
      <c r="G33" s="102"/>
      <c r="J33" s="84"/>
      <c r="K33" s="103"/>
      <c r="L33" s="103"/>
      <c r="M33" s="103"/>
      <c r="N33" s="103"/>
      <c r="Q33" s="103"/>
      <c r="R33" s="103"/>
      <c r="S33" s="103"/>
      <c r="T33" s="103"/>
      <c r="U33" s="103"/>
      <c r="V33" s="103"/>
      <c r="W33" s="103"/>
      <c r="X33" s="103"/>
      <c r="Y33" s="103"/>
    </row>
    <row r="34" spans="1:25" x14ac:dyDescent="0.25">
      <c r="B34" s="85" t="s">
        <v>708</v>
      </c>
      <c r="C34" s="83" t="s">
        <v>709</v>
      </c>
      <c r="D34" s="101"/>
      <c r="F34" s="102"/>
      <c r="G34" s="102"/>
      <c r="J34" s="84"/>
      <c r="K34" s="103"/>
      <c r="L34" s="103"/>
      <c r="M34" s="103"/>
      <c r="N34" s="103"/>
      <c r="Q34" s="103"/>
      <c r="R34" s="103"/>
      <c r="S34" s="103"/>
      <c r="T34" s="103"/>
      <c r="U34" s="103"/>
      <c r="V34" s="103"/>
      <c r="W34" s="103"/>
      <c r="X34" s="103"/>
      <c r="Y34" s="103"/>
    </row>
    <row r="35" spans="1:25" x14ac:dyDescent="0.25">
      <c r="B35" s="85" t="s">
        <v>710</v>
      </c>
      <c r="C35" s="83" t="s">
        <v>711</v>
      </c>
      <c r="D35" s="101"/>
      <c r="F35" s="102"/>
      <c r="G35" s="102"/>
      <c r="J35" s="84"/>
      <c r="K35" s="103"/>
      <c r="L35" s="103"/>
      <c r="M35" s="103"/>
      <c r="N35" s="103"/>
      <c r="Q35" s="103"/>
      <c r="R35" s="103"/>
      <c r="S35" s="103"/>
      <c r="T35" s="103"/>
      <c r="U35" s="103"/>
      <c r="V35" s="103"/>
      <c r="W35" s="103"/>
      <c r="X35" s="103"/>
      <c r="Y35" s="103"/>
    </row>
    <row r="36" spans="1:25" x14ac:dyDescent="0.25">
      <c r="A36" s="83" t="s">
        <v>251</v>
      </c>
      <c r="B36" s="85" t="s">
        <v>64</v>
      </c>
      <c r="C36" s="83" t="s">
        <v>65</v>
      </c>
      <c r="D36" s="101">
        <v>312</v>
      </c>
      <c r="E36" s="102">
        <v>19090</v>
      </c>
    </row>
    <row r="37" spans="1:25" x14ac:dyDescent="0.25">
      <c r="B37" s="83" t="s">
        <v>639</v>
      </c>
      <c r="C37" s="83" t="s">
        <v>640</v>
      </c>
      <c r="D37" s="101">
        <v>8.1300000000000008</v>
      </c>
      <c r="E37" s="102">
        <v>1700</v>
      </c>
    </row>
    <row r="38" spans="1:25" x14ac:dyDescent="0.25">
      <c r="B38" s="83" t="s">
        <v>420</v>
      </c>
      <c r="C38" s="83" t="s">
        <v>421</v>
      </c>
    </row>
    <row r="39" spans="1:25" x14ac:dyDescent="0.25">
      <c r="B39" s="83" t="s">
        <v>426</v>
      </c>
      <c r="C39" s="83" t="s">
        <v>427</v>
      </c>
    </row>
    <row r="40" spans="1:25" x14ac:dyDescent="0.25">
      <c r="B40" s="83" t="s">
        <v>482</v>
      </c>
      <c r="C40" s="83" t="s">
        <v>483</v>
      </c>
    </row>
    <row r="41" spans="1:25" x14ac:dyDescent="0.25">
      <c r="B41" s="83" t="s">
        <v>514</v>
      </c>
      <c r="C41" s="83" t="s">
        <v>515</v>
      </c>
    </row>
    <row r="42" spans="1:25" x14ac:dyDescent="0.25">
      <c r="B42" s="83" t="s">
        <v>538</v>
      </c>
      <c r="C42" s="83" t="s">
        <v>539</v>
      </c>
    </row>
    <row r="43" spans="1:25" x14ac:dyDescent="0.25">
      <c r="B43" s="83" t="s">
        <v>716</v>
      </c>
      <c r="C43" s="83" t="s">
        <v>717</v>
      </c>
    </row>
    <row r="44" spans="1:25" x14ac:dyDescent="0.25">
      <c r="B44" s="83" t="s">
        <v>568</v>
      </c>
      <c r="C44" s="83" t="s">
        <v>569</v>
      </c>
    </row>
    <row r="45" spans="1:25" x14ac:dyDescent="0.25">
      <c r="B45" s="4" t="s">
        <v>645</v>
      </c>
      <c r="C45" s="83" t="s">
        <v>646</v>
      </c>
      <c r="D45" s="84">
        <v>8.89</v>
      </c>
    </row>
    <row r="46" spans="1:25" x14ac:dyDescent="0.25">
      <c r="B46" s="83" t="s">
        <v>695</v>
      </c>
      <c r="C46" s="83" t="s">
        <v>696</v>
      </c>
    </row>
    <row r="47" spans="1:25" x14ac:dyDescent="0.25">
      <c r="B47" s="83" t="s">
        <v>582</v>
      </c>
      <c r="C47" s="83" t="s">
        <v>583</v>
      </c>
    </row>
    <row r="48" spans="1:25" x14ac:dyDescent="0.25">
      <c r="B48" s="83" t="s">
        <v>590</v>
      </c>
      <c r="C48" s="83" t="s">
        <v>591</v>
      </c>
    </row>
    <row r="49" spans="1:9" x14ac:dyDescent="0.25">
      <c r="B49" s="83" t="s">
        <v>592</v>
      </c>
      <c r="C49" s="83" t="s">
        <v>593</v>
      </c>
    </row>
    <row r="50" spans="1:9" x14ac:dyDescent="0.25">
      <c r="B50" s="4" t="s">
        <v>655</v>
      </c>
      <c r="C50" s="83" t="s">
        <v>657</v>
      </c>
      <c r="D50" s="106">
        <v>89.5</v>
      </c>
    </row>
    <row r="51" spans="1:9" x14ac:dyDescent="0.25">
      <c r="B51" s="4" t="s">
        <v>656</v>
      </c>
      <c r="C51" s="83" t="s">
        <v>658</v>
      </c>
    </row>
    <row r="52" spans="1:9" x14ac:dyDescent="0.25">
      <c r="B52" s="83" t="s">
        <v>594</v>
      </c>
      <c r="C52" s="83" t="s">
        <v>595</v>
      </c>
    </row>
    <row r="53" spans="1:9" x14ac:dyDescent="0.25">
      <c r="B53" s="83" t="s">
        <v>600</v>
      </c>
      <c r="C53" s="83" t="s">
        <v>601</v>
      </c>
    </row>
    <row r="55" spans="1:9" s="88" customFormat="1" ht="13" x14ac:dyDescent="0.3">
      <c r="A55" s="83"/>
      <c r="B55" s="20" t="s">
        <v>33</v>
      </c>
      <c r="C55" s="20" t="s">
        <v>150</v>
      </c>
      <c r="D55" s="21">
        <v>0</v>
      </c>
      <c r="E55" s="8">
        <v>100000</v>
      </c>
      <c r="F55" s="102"/>
      <c r="G55" s="102"/>
      <c r="H55" s="102"/>
      <c r="I55" s="102"/>
    </row>
    <row r="56" spans="1:9" ht="13" x14ac:dyDescent="0.3">
      <c r="B56" s="38" t="s">
        <v>58</v>
      </c>
      <c r="C56" s="38"/>
      <c r="D56" s="39">
        <v>0</v>
      </c>
      <c r="E56" s="40">
        <v>26000</v>
      </c>
    </row>
    <row r="57" spans="1:9" ht="13" x14ac:dyDescent="0.3">
      <c r="B57" s="88" t="s">
        <v>86</v>
      </c>
      <c r="C57" s="88"/>
      <c r="D57" s="21">
        <v>0</v>
      </c>
      <c r="E57" s="102">
        <v>15000</v>
      </c>
    </row>
    <row r="58" spans="1:9" ht="13" x14ac:dyDescent="0.3">
      <c r="B58" s="83" t="s">
        <v>240</v>
      </c>
      <c r="D58" s="21">
        <v>0</v>
      </c>
      <c r="E58" s="102">
        <v>75</v>
      </c>
    </row>
    <row r="59" spans="1:9" ht="13" x14ac:dyDescent="0.3">
      <c r="B59" s="83" t="s">
        <v>242</v>
      </c>
      <c r="D59" s="21">
        <v>0</v>
      </c>
    </row>
    <row r="60" spans="1:9" x14ac:dyDescent="0.25">
      <c r="B60" s="83" t="s">
        <v>272</v>
      </c>
      <c r="E60" s="102">
        <v>424</v>
      </c>
    </row>
    <row r="61" spans="1:9" x14ac:dyDescent="0.25">
      <c r="B61" s="83" t="s">
        <v>274</v>
      </c>
      <c r="E61" s="102">
        <v>159.5</v>
      </c>
    </row>
    <row r="62" spans="1:9" x14ac:dyDescent="0.25">
      <c r="B62" s="83" t="s">
        <v>397</v>
      </c>
    </row>
  </sheetData>
  <hyperlinks>
    <hyperlink ref="A1" location="Main!A1" display="Main" xr:uid="{A1A6C7BE-B827-4E66-8B30-A4C4FF1A4224}"/>
    <hyperlink ref="B5" r:id="rId1" xr:uid="{B2FAC7EC-CB56-42A3-96CC-14E909698321}"/>
    <hyperlink ref="B10" r:id="rId2" xr:uid="{B88BB985-A6BE-418A-A3AF-D32B8C4FDEDC}"/>
    <hyperlink ref="B14" r:id="rId3" xr:uid="{23C18DFD-2B8B-4983-8229-C64F85CE48F2}"/>
    <hyperlink ref="B3" r:id="rId4" xr:uid="{30FED99F-51CE-43A8-9B70-7A5CD28A7EA4}"/>
    <hyperlink ref="B50" r:id="rId5" xr:uid="{132B7EB0-8BB8-4C45-9D4A-8D6FD8E92C4F}"/>
    <hyperlink ref="B51" r:id="rId6" xr:uid="{978BA968-9397-4F51-8BD6-DF24F3265F24}"/>
    <hyperlink ref="B11" r:id="rId7" xr:uid="{4D2153E5-B181-4376-B814-CEB9F02158B7}"/>
    <hyperlink ref="B6" r:id="rId8" xr:uid="{3FE14BBE-9F87-497A-818B-F2351807C428}"/>
    <hyperlink ref="B45" r:id="rId9" xr:uid="{43326133-1D9D-4798-ABA9-22029AB1F11E}"/>
    <hyperlink ref="B4" r:id="rId10" xr:uid="{4BB53E73-5B1D-4193-91BF-A26D8EDACD0C}"/>
  </hyperlinks>
  <pageMargins left="0.7" right="0.7" top="0.75" bottom="0.75" header="0.3" footer="0.3"/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DE09-CAB5-40D0-A45D-B13186189FA6}">
  <dimension ref="A1:X6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.453125" style="67" bestFit="1" customWidth="1"/>
    <col min="2" max="2" width="11.453125" style="67" bestFit="1" customWidth="1"/>
    <col min="3" max="16384" width="9.1796875" style="67"/>
  </cols>
  <sheetData>
    <row r="1" spans="1:24" x14ac:dyDescent="0.25">
      <c r="A1" s="4" t="s">
        <v>142</v>
      </c>
    </row>
    <row r="2" spans="1:24" x14ac:dyDescent="0.25">
      <c r="B2" s="68" t="s">
        <v>0</v>
      </c>
      <c r="C2" s="69" t="s">
        <v>1</v>
      </c>
      <c r="D2" s="70" t="s">
        <v>2</v>
      </c>
      <c r="E2" s="71" t="s">
        <v>3</v>
      </c>
      <c r="F2" s="72" t="s">
        <v>4</v>
      </c>
      <c r="G2" s="72" t="s">
        <v>5</v>
      </c>
      <c r="H2" s="72" t="s">
        <v>211</v>
      </c>
      <c r="I2" s="72" t="s">
        <v>6</v>
      </c>
      <c r="J2" s="72" t="s">
        <v>222</v>
      </c>
      <c r="K2" s="73" t="s">
        <v>206</v>
      </c>
      <c r="L2" s="73" t="s">
        <v>210</v>
      </c>
      <c r="M2" s="73" t="s">
        <v>207</v>
      </c>
      <c r="N2" s="73" t="s">
        <v>208</v>
      </c>
      <c r="O2" s="74" t="s">
        <v>209</v>
      </c>
      <c r="P2" s="75" t="s">
        <v>227</v>
      </c>
      <c r="Q2" s="76" t="s">
        <v>228</v>
      </c>
      <c r="R2" s="76" t="s">
        <v>229</v>
      </c>
      <c r="S2" s="74">
        <v>2025</v>
      </c>
      <c r="T2" s="75" t="s">
        <v>226</v>
      </c>
      <c r="U2" s="73">
        <v>2023</v>
      </c>
      <c r="V2" s="73">
        <v>2024</v>
      </c>
      <c r="W2" s="74">
        <v>2025</v>
      </c>
      <c r="X2" s="67" t="s">
        <v>212</v>
      </c>
    </row>
    <row r="3" spans="1:24" x14ac:dyDescent="0.25">
      <c r="B3" s="66" t="s">
        <v>143</v>
      </c>
      <c r="C3" s="67" t="s">
        <v>144</v>
      </c>
      <c r="D3" s="77">
        <v>26.99</v>
      </c>
      <c r="E3" s="65">
        <v>1400</v>
      </c>
    </row>
    <row r="4" spans="1:24" x14ac:dyDescent="0.25">
      <c r="B4" s="30" t="s">
        <v>667</v>
      </c>
      <c r="C4" s="67" t="s">
        <v>668</v>
      </c>
      <c r="D4" s="77">
        <v>83.95</v>
      </c>
      <c r="E4" s="65"/>
    </row>
    <row r="5" spans="1:24" x14ac:dyDescent="0.25">
      <c r="A5" s="67" t="s">
        <v>251</v>
      </c>
      <c r="B5" s="66" t="s">
        <v>526</v>
      </c>
      <c r="C5" s="67" t="s">
        <v>527</v>
      </c>
      <c r="D5" s="77"/>
      <c r="E5" s="65"/>
    </row>
    <row r="6" spans="1:24" x14ac:dyDescent="0.25">
      <c r="A6" s="67" t="s">
        <v>251</v>
      </c>
      <c r="B6" s="66" t="s">
        <v>388</v>
      </c>
      <c r="C6" s="67" t="s">
        <v>509</v>
      </c>
    </row>
  </sheetData>
  <hyperlinks>
    <hyperlink ref="B4" r:id="rId1" xr:uid="{6A64061A-0D93-429F-8BE3-27535072E7D2}"/>
    <hyperlink ref="A1" location="Main!A1" display="Main" xr:uid="{9F79FDD5-8764-48DF-AF6B-FC5975B9AE1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F4EB-ECD2-418F-8A42-9502B535E912}">
  <dimension ref="A1:X62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9" bestFit="1" customWidth="1"/>
    <col min="2" max="2" width="12.81640625" style="9" customWidth="1"/>
    <col min="3" max="4" width="9.1796875" style="9"/>
    <col min="5" max="5" width="10" style="9" customWidth="1"/>
    <col min="6" max="6" width="9.1796875" style="9"/>
    <col min="7" max="7" width="10" style="9" customWidth="1"/>
    <col min="8" max="9" width="9.1796875" style="9"/>
    <col min="10" max="10" width="10.453125" style="9" bestFit="1" customWidth="1"/>
    <col min="11" max="16384" width="9.1796875" style="9"/>
  </cols>
  <sheetData>
    <row r="1" spans="1:24" x14ac:dyDescent="0.25">
      <c r="A1" s="4" t="s">
        <v>142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</row>
    <row r="2" spans="1:24" s="25" customFormat="1" x14ac:dyDescent="0.25">
      <c r="A2" s="83"/>
      <c r="B2" s="111" t="s">
        <v>0</v>
      </c>
      <c r="C2" s="112" t="s">
        <v>1</v>
      </c>
      <c r="D2" s="113" t="s">
        <v>2</v>
      </c>
      <c r="E2" s="114" t="s">
        <v>3</v>
      </c>
      <c r="F2" s="115" t="s">
        <v>4</v>
      </c>
      <c r="G2" s="115" t="s">
        <v>5</v>
      </c>
      <c r="H2" s="115" t="s">
        <v>211</v>
      </c>
      <c r="I2" s="115" t="s">
        <v>6</v>
      </c>
      <c r="J2" s="115" t="s">
        <v>222</v>
      </c>
      <c r="K2" s="116" t="s">
        <v>206</v>
      </c>
      <c r="L2" s="116" t="s">
        <v>210</v>
      </c>
      <c r="M2" s="116" t="s">
        <v>207</v>
      </c>
      <c r="N2" s="116" t="s">
        <v>208</v>
      </c>
      <c r="O2" s="117" t="s">
        <v>209</v>
      </c>
      <c r="P2" s="118" t="s">
        <v>227</v>
      </c>
      <c r="Q2" s="119" t="s">
        <v>228</v>
      </c>
      <c r="R2" s="119" t="s">
        <v>229</v>
      </c>
      <c r="S2" s="117">
        <v>2025</v>
      </c>
      <c r="T2" s="118" t="s">
        <v>226</v>
      </c>
      <c r="U2" s="116">
        <v>2023</v>
      </c>
      <c r="V2" s="116">
        <v>2024</v>
      </c>
      <c r="W2" s="117">
        <v>2025</v>
      </c>
      <c r="X2" s="83" t="s">
        <v>212</v>
      </c>
    </row>
    <row r="3" spans="1:24" x14ac:dyDescent="0.25">
      <c r="A3" s="83" t="s">
        <v>251</v>
      </c>
      <c r="B3" s="4" t="s">
        <v>11</v>
      </c>
      <c r="C3" s="83" t="s">
        <v>12</v>
      </c>
      <c r="D3" s="101">
        <v>188.72</v>
      </c>
      <c r="E3" s="102">
        <f>+D3*H3</f>
        <v>2039308.32</v>
      </c>
      <c r="F3" s="102">
        <f>[1]Main!$K$5-[1]Main!$K$6</f>
        <v>42462</v>
      </c>
      <c r="G3" s="102">
        <f>+E3-F3</f>
        <v>1996846.32</v>
      </c>
      <c r="H3" s="88">
        <f>+[1]Main!$K$3</f>
        <v>10806</v>
      </c>
      <c r="I3" s="84" t="s">
        <v>651</v>
      </c>
      <c r="J3" s="132">
        <v>45689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</row>
    <row r="4" spans="1:24" s="11" customFormat="1" x14ac:dyDescent="0.25">
      <c r="A4" s="83"/>
      <c r="B4" s="4" t="s">
        <v>36</v>
      </c>
      <c r="C4" s="83" t="s">
        <v>37</v>
      </c>
      <c r="D4" s="101">
        <v>152</v>
      </c>
      <c r="E4" s="102">
        <f>+D4*H4</f>
        <v>196812.75156799998</v>
      </c>
      <c r="F4" s="102">
        <f>+[60]Main!$M$5-[60]Main!$M$6</f>
        <v>10559</v>
      </c>
      <c r="G4" s="102">
        <f t="shared" ref="G4" si="0">E4-F4</f>
        <v>186253.75156799998</v>
      </c>
      <c r="H4" s="102">
        <f>+[60]Main!$M$3</f>
        <v>1294.8207339999999</v>
      </c>
      <c r="I4" s="84" t="s">
        <v>664</v>
      </c>
      <c r="J4" s="86">
        <v>45875</v>
      </c>
      <c r="K4" s="103"/>
      <c r="L4" s="103"/>
      <c r="M4" s="103"/>
      <c r="N4" s="103"/>
      <c r="O4" s="103"/>
      <c r="P4" s="104"/>
      <c r="Q4" s="103"/>
      <c r="R4" s="103"/>
      <c r="S4" s="105"/>
      <c r="T4" s="104"/>
      <c r="U4" s="103"/>
      <c r="V4" s="103"/>
      <c r="W4" s="105"/>
      <c r="X4" s="83"/>
    </row>
    <row r="5" spans="1:24" x14ac:dyDescent="0.25">
      <c r="A5" s="83"/>
      <c r="B5" s="4" t="s">
        <v>42</v>
      </c>
      <c r="C5" s="83" t="s">
        <v>43</v>
      </c>
      <c r="D5" s="133">
        <v>92.42</v>
      </c>
      <c r="E5" s="102">
        <f>+D5*H5</f>
        <v>196207.66</v>
      </c>
      <c r="F5" s="88">
        <f>+[61]Main!$K$5-[61]Main!$K$6</f>
        <v>17599</v>
      </c>
      <c r="G5" s="88">
        <f>+E5-F5</f>
        <v>178608.66</v>
      </c>
      <c r="H5" s="88">
        <f>+[61]Main!$K$3</f>
        <v>2123</v>
      </c>
      <c r="I5" s="84" t="s">
        <v>651</v>
      </c>
      <c r="J5" s="132">
        <v>45853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</row>
    <row r="6" spans="1:24" s="11" customFormat="1" x14ac:dyDescent="0.25">
      <c r="A6" s="83"/>
      <c r="B6" s="4" t="s">
        <v>17</v>
      </c>
      <c r="C6" s="83" t="s">
        <v>18</v>
      </c>
      <c r="D6" s="101">
        <v>105.29</v>
      </c>
      <c r="E6" s="102">
        <f>+D6*H6</f>
        <v>257894.69375000001</v>
      </c>
      <c r="F6" s="102" cm="1">
        <f t="array" ref="F6">([62]Main!$O$5-[62]Main!$O$6)/RMB</f>
        <v>121948.96142433234</v>
      </c>
      <c r="G6" s="102">
        <f>+E6-F6</f>
        <v>135945.73232566766</v>
      </c>
      <c r="H6" s="102">
        <f>+[62]Main!$L$3</f>
        <v>2449.375</v>
      </c>
      <c r="I6" s="84" t="s">
        <v>610</v>
      </c>
      <c r="J6" s="132">
        <v>45756</v>
      </c>
      <c r="K6" s="103"/>
      <c r="L6" s="103"/>
      <c r="M6" s="103"/>
      <c r="N6" s="103"/>
      <c r="O6" s="103"/>
      <c r="P6" s="104"/>
      <c r="Q6" s="103"/>
      <c r="R6" s="103"/>
      <c r="S6" s="105"/>
      <c r="T6" s="104"/>
      <c r="U6" s="103"/>
      <c r="V6" s="103"/>
      <c r="W6" s="105"/>
      <c r="X6" s="83"/>
    </row>
    <row r="7" spans="1:24" x14ac:dyDescent="0.25">
      <c r="A7" s="83"/>
      <c r="B7" s="4" t="s">
        <v>17</v>
      </c>
      <c r="C7" s="139" t="s">
        <v>628</v>
      </c>
      <c r="D7" s="140">
        <v>92</v>
      </c>
      <c r="E7" s="102">
        <f>+D7*H7/HKD</f>
        <v>229654.2587072282</v>
      </c>
      <c r="F7" s="102" cm="1">
        <f t="array" ref="F7">([62]Main!$O$5-[62]Main!$O$6)/RMB</f>
        <v>121948.96142433234</v>
      </c>
      <c r="G7" s="102">
        <f>+E7-F7</f>
        <v>107705.29728289586</v>
      </c>
      <c r="H7" s="88">
        <f>+[62]Main!$O$3</f>
        <v>19595</v>
      </c>
      <c r="I7" s="84" t="s">
        <v>610</v>
      </c>
      <c r="J7" s="132">
        <v>45756</v>
      </c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</row>
    <row r="8" spans="1:24" x14ac:dyDescent="0.25">
      <c r="A8" s="83"/>
      <c r="B8" s="83" t="s">
        <v>28</v>
      </c>
      <c r="C8" s="83" t="s">
        <v>28</v>
      </c>
      <c r="D8" s="101">
        <v>65.180000000000007</v>
      </c>
      <c r="E8" s="102">
        <v>101795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</row>
    <row r="9" spans="1:24" x14ac:dyDescent="0.25">
      <c r="A9" s="83"/>
      <c r="B9" s="83" t="s">
        <v>252</v>
      </c>
      <c r="C9" s="83" t="s">
        <v>253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24" x14ac:dyDescent="0.25">
      <c r="A10" s="83"/>
      <c r="B10" s="83" t="s">
        <v>196</v>
      </c>
      <c r="C10" s="83" t="s">
        <v>197</v>
      </c>
      <c r="D10" s="133">
        <v>119.23</v>
      </c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</row>
    <row r="11" spans="1:24" x14ac:dyDescent="0.25">
      <c r="A11" s="83"/>
      <c r="B11" s="4" t="s">
        <v>34</v>
      </c>
      <c r="C11" s="83" t="s">
        <v>35</v>
      </c>
      <c r="D11" s="83">
        <v>116.42</v>
      </c>
      <c r="E11" s="88">
        <f>+D11*H11</f>
        <v>73714.487644859997</v>
      </c>
      <c r="F11" s="88">
        <f>+[63]Main!$L$5-[63]Main!$L$6</f>
        <v>7643.4470000000001</v>
      </c>
      <c r="G11" s="102">
        <f>E11-F11</f>
        <v>66071.040644859997</v>
      </c>
      <c r="H11" s="88">
        <f>+[63]Main!$L$3</f>
        <v>633.17718300000001</v>
      </c>
      <c r="I11" s="84" t="s">
        <v>346</v>
      </c>
      <c r="J11" s="132">
        <v>44971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</row>
    <row r="12" spans="1:24" x14ac:dyDescent="0.25">
      <c r="A12" s="83"/>
      <c r="B12" s="83" t="s">
        <v>194</v>
      </c>
      <c r="C12" s="83" t="s">
        <v>195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</row>
    <row r="13" spans="1:24" x14ac:dyDescent="0.25">
      <c r="A13" s="83"/>
      <c r="B13" s="83" t="s">
        <v>282</v>
      </c>
      <c r="C13" s="83" t="s">
        <v>283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</row>
    <row r="14" spans="1:24" x14ac:dyDescent="0.25">
      <c r="A14" s="83"/>
      <c r="B14" s="83" t="s">
        <v>300</v>
      </c>
      <c r="C14" s="83" t="s">
        <v>301</v>
      </c>
      <c r="D14" s="133">
        <v>24.43</v>
      </c>
      <c r="E14" s="88">
        <f>+D14*H14</f>
        <v>43946.137438419995</v>
      </c>
      <c r="F14" s="88">
        <f>+[64]Main!$L$5-[64]Main!$L$6</f>
        <v>4606</v>
      </c>
      <c r="G14" s="88">
        <f>+E14-F14</f>
        <v>39340.137438419995</v>
      </c>
      <c r="H14" s="88">
        <f>+[64]Main!$L$3</f>
        <v>1798.8594939999998</v>
      </c>
      <c r="I14" s="84" t="s">
        <v>651</v>
      </c>
      <c r="J14" s="132">
        <v>45712</v>
      </c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</row>
    <row r="15" spans="1:24" s="11" customFormat="1" x14ac:dyDescent="0.25">
      <c r="A15" s="83"/>
      <c r="B15" s="83" t="s">
        <v>284</v>
      </c>
      <c r="C15" s="83" t="s">
        <v>285</v>
      </c>
      <c r="D15" s="101"/>
      <c r="E15" s="102"/>
      <c r="F15" s="102"/>
      <c r="G15" s="102"/>
      <c r="H15" s="102"/>
      <c r="I15" s="84"/>
      <c r="J15" s="84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83"/>
    </row>
    <row r="16" spans="1:24" x14ac:dyDescent="0.25">
      <c r="A16" s="83"/>
      <c r="B16" s="4" t="s">
        <v>59</v>
      </c>
      <c r="C16" s="83" t="s">
        <v>60</v>
      </c>
      <c r="D16" s="101">
        <v>71.66</v>
      </c>
      <c r="E16" s="102">
        <v>25171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</row>
    <row r="17" spans="1:24" x14ac:dyDescent="0.25">
      <c r="A17" s="83" t="s">
        <v>251</v>
      </c>
      <c r="B17" s="83" t="s">
        <v>669</v>
      </c>
      <c r="C17" s="83" t="s">
        <v>670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</row>
    <row r="18" spans="1:24" x14ac:dyDescent="0.25">
      <c r="A18" s="83"/>
      <c r="B18" s="83" t="s">
        <v>683</v>
      </c>
      <c r="C18" s="83" t="s">
        <v>684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</row>
    <row r="19" spans="1:24" x14ac:dyDescent="0.25">
      <c r="A19" s="83"/>
      <c r="B19" s="83" t="s">
        <v>685</v>
      </c>
      <c r="C19" s="83" t="s">
        <v>686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</row>
    <row r="20" spans="1:24" x14ac:dyDescent="0.25">
      <c r="A20" s="83"/>
      <c r="B20" s="83" t="s">
        <v>712</v>
      </c>
      <c r="C20" s="83" t="s">
        <v>713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</row>
    <row r="21" spans="1:24" x14ac:dyDescent="0.25">
      <c r="A21" s="83"/>
      <c r="B21" s="83" t="s">
        <v>718</v>
      </c>
      <c r="C21" s="83" t="s">
        <v>719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</row>
    <row r="22" spans="1:24" x14ac:dyDescent="0.25">
      <c r="A22" s="83"/>
      <c r="B22" s="83" t="s">
        <v>721</v>
      </c>
      <c r="C22" s="83" t="s">
        <v>722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</row>
    <row r="23" spans="1:24" x14ac:dyDescent="0.25">
      <c r="A23" s="83"/>
      <c r="B23" s="4" t="s">
        <v>505</v>
      </c>
      <c r="C23" s="83" t="s">
        <v>506</v>
      </c>
      <c r="D23" s="133">
        <v>305.11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</row>
    <row r="24" spans="1:24" x14ac:dyDescent="0.25">
      <c r="A24" s="83"/>
      <c r="B24" s="83" t="s">
        <v>302</v>
      </c>
      <c r="C24" s="83" t="s">
        <v>303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</row>
    <row r="25" spans="1:24" x14ac:dyDescent="0.25">
      <c r="A25" s="83"/>
      <c r="B25" s="4" t="s">
        <v>734</v>
      </c>
      <c r="C25" s="83" t="s">
        <v>735</v>
      </c>
      <c r="D25" s="133">
        <v>37.72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</row>
    <row r="26" spans="1:24" x14ac:dyDescent="0.25">
      <c r="A26" s="83"/>
      <c r="B26" s="83" t="s">
        <v>306</v>
      </c>
      <c r="C26" s="83" t="s">
        <v>307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</row>
    <row r="27" spans="1:24" x14ac:dyDescent="0.25">
      <c r="A27" s="83"/>
      <c r="B27" s="83" t="s">
        <v>308</v>
      </c>
      <c r="C27" s="83" t="s">
        <v>309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</row>
    <row r="28" spans="1:24" x14ac:dyDescent="0.25">
      <c r="A28" s="83"/>
      <c r="B28" s="83" t="s">
        <v>157</v>
      </c>
      <c r="C28" s="83" t="s">
        <v>158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</row>
    <row r="29" spans="1:24" x14ac:dyDescent="0.25">
      <c r="A29" s="83"/>
      <c r="B29" s="83" t="s">
        <v>96</v>
      </c>
      <c r="C29" s="83" t="s">
        <v>97</v>
      </c>
      <c r="D29" s="101">
        <v>2.5099999999999998</v>
      </c>
      <c r="E29" s="102">
        <v>12580</v>
      </c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</row>
    <row r="30" spans="1:24" x14ac:dyDescent="0.25">
      <c r="A30" s="83"/>
      <c r="B30" s="83" t="s">
        <v>706</v>
      </c>
      <c r="C30" s="83" t="s">
        <v>707</v>
      </c>
      <c r="D30" s="101"/>
      <c r="E30" s="102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</row>
    <row r="31" spans="1:24" x14ac:dyDescent="0.25">
      <c r="A31" s="83"/>
      <c r="B31" s="83" t="s">
        <v>159</v>
      </c>
      <c r="C31" s="83" t="s">
        <v>160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</row>
    <row r="32" spans="1:24" x14ac:dyDescent="0.25">
      <c r="A32" s="83"/>
      <c r="B32" s="4" t="s">
        <v>740</v>
      </c>
      <c r="C32" s="83" t="s">
        <v>741</v>
      </c>
      <c r="D32" s="133">
        <v>65.05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</row>
    <row r="33" spans="1:24" s="11" customFormat="1" x14ac:dyDescent="0.25">
      <c r="A33" s="83"/>
      <c r="B33" s="83" t="s">
        <v>131</v>
      </c>
      <c r="C33" s="83" t="s">
        <v>132</v>
      </c>
      <c r="D33" s="101">
        <v>17.63</v>
      </c>
      <c r="E33" s="102">
        <v>6480</v>
      </c>
      <c r="F33" s="84"/>
      <c r="G33" s="84"/>
      <c r="H33" s="84"/>
      <c r="I33" s="84"/>
      <c r="J33" s="84"/>
      <c r="K33" s="103"/>
      <c r="L33" s="103"/>
      <c r="M33" s="103"/>
      <c r="N33" s="103"/>
      <c r="O33" s="103"/>
      <c r="P33" s="104"/>
      <c r="Q33" s="103"/>
      <c r="R33" s="103"/>
      <c r="S33" s="105"/>
      <c r="T33" s="104"/>
      <c r="U33" s="103"/>
      <c r="V33" s="103"/>
      <c r="W33" s="105"/>
      <c r="X33" s="83"/>
    </row>
    <row r="34" spans="1:24" x14ac:dyDescent="0.25">
      <c r="A34" s="83"/>
      <c r="B34" s="4" t="s">
        <v>373</v>
      </c>
      <c r="C34" s="83" t="s">
        <v>374</v>
      </c>
      <c r="D34" s="83">
        <v>8.86</v>
      </c>
      <c r="E34" s="88">
        <f>+D34*H34</f>
        <v>963.51364147999993</v>
      </c>
      <c r="F34" s="88">
        <f>+[65]Main!$K$5-[65]Main!$K$6</f>
        <v>-1163.2909999999999</v>
      </c>
      <c r="G34" s="88">
        <f>+E34-F34</f>
        <v>2126.8046414800001</v>
      </c>
      <c r="H34" s="88">
        <f>+[65]Main!$K$3</f>
        <v>108.748718</v>
      </c>
      <c r="I34" s="86" t="s">
        <v>346</v>
      </c>
      <c r="J34" s="132">
        <v>44965</v>
      </c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</row>
    <row r="35" spans="1:24" x14ac:dyDescent="0.25">
      <c r="A35" s="83"/>
      <c r="B35" s="4" t="s">
        <v>624</v>
      </c>
      <c r="C35" s="83" t="s">
        <v>625</v>
      </c>
      <c r="D35" s="83">
        <v>1.77</v>
      </c>
      <c r="E35" s="88">
        <f>+D35*H35</f>
        <v>183.49568582999999</v>
      </c>
      <c r="F35" s="88">
        <f>+[66]Main!$K$5-[66]Main!$K$6</f>
        <v>4.47199999999998</v>
      </c>
      <c r="G35" s="88">
        <f>+E35-F35</f>
        <v>179.02368583000001</v>
      </c>
      <c r="H35" s="88">
        <f>+[66]Main!$K$3</f>
        <v>103.66987899999999</v>
      </c>
      <c r="I35" s="86" t="s">
        <v>610</v>
      </c>
      <c r="J35" s="132">
        <v>45556</v>
      </c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</row>
    <row r="36" spans="1:24" x14ac:dyDescent="0.25">
      <c r="A36" s="83"/>
      <c r="B36" s="4" t="s">
        <v>375</v>
      </c>
      <c r="C36" s="83" t="s">
        <v>739</v>
      </c>
      <c r="D36" s="83">
        <v>2.77</v>
      </c>
      <c r="E36" s="88"/>
      <c r="F36" s="88"/>
      <c r="G36" s="88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</row>
    <row r="37" spans="1:24" x14ac:dyDescent="0.25">
      <c r="A37" s="83"/>
      <c r="B37" s="4" t="s">
        <v>643</v>
      </c>
      <c r="C37" s="83" t="s">
        <v>644</v>
      </c>
      <c r="D37" s="83">
        <v>1.02</v>
      </c>
      <c r="E37" s="88">
        <f>+D37*H37</f>
        <v>114.86102394</v>
      </c>
      <c r="F37" s="88">
        <f>+[67]Main!$J$5-[67]Main!$J$6</f>
        <v>69.837999999999994</v>
      </c>
      <c r="G37" s="88">
        <f>+E37-F37</f>
        <v>45.023023940000002</v>
      </c>
      <c r="H37" s="88">
        <f>+[67]Main!$J$3</f>
        <v>112.608847</v>
      </c>
      <c r="I37" s="84" t="s">
        <v>610</v>
      </c>
      <c r="J37" s="132">
        <v>45583</v>
      </c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</row>
    <row r="38" spans="1:24" x14ac:dyDescent="0.25">
      <c r="A38" s="83"/>
      <c r="B38" s="83" t="s">
        <v>548</v>
      </c>
      <c r="C38" s="83" t="s">
        <v>549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</row>
    <row r="39" spans="1:24" x14ac:dyDescent="0.25">
      <c r="A39" s="83"/>
      <c r="B39" s="83" t="s">
        <v>671</v>
      </c>
      <c r="C39" s="83" t="s">
        <v>672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</row>
    <row r="40" spans="1:24" x14ac:dyDescent="0.25">
      <c r="A40" s="83"/>
      <c r="B40" s="83" t="s">
        <v>728</v>
      </c>
      <c r="C40" s="83" t="s">
        <v>729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</row>
    <row r="41" spans="1:24" x14ac:dyDescent="0.25">
      <c r="A41" s="83"/>
      <c r="B41" s="83" t="s">
        <v>556</v>
      </c>
      <c r="C41" s="83" t="s">
        <v>557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</row>
    <row r="42" spans="1:24" x14ac:dyDescent="0.25">
      <c r="A42" s="83"/>
      <c r="B42" s="83" t="s">
        <v>609</v>
      </c>
      <c r="C42" s="83" t="s">
        <v>608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</row>
    <row r="43" spans="1:24" x14ac:dyDescent="0.25">
      <c r="A43" s="83"/>
      <c r="B43" s="83" t="s">
        <v>736</v>
      </c>
      <c r="C43" s="83" t="s">
        <v>737</v>
      </c>
      <c r="D43" s="83">
        <v>27.72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</row>
    <row r="44" spans="1:24" x14ac:dyDescent="0.25">
      <c r="A44" s="83"/>
      <c r="B44" s="4" t="s">
        <v>641</v>
      </c>
      <c r="C44" s="83" t="s">
        <v>642</v>
      </c>
      <c r="D44" s="133">
        <v>41.16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</row>
    <row r="45" spans="1:24" ht="14.5" x14ac:dyDescent="0.35">
      <c r="A45"/>
    </row>
    <row r="46" spans="1:24" ht="14.5" x14ac:dyDescent="0.35">
      <c r="A46"/>
      <c r="B46" s="1" t="s">
        <v>115</v>
      </c>
      <c r="C46" s="1"/>
      <c r="D46" s="2"/>
      <c r="E46" s="3">
        <v>8333</v>
      </c>
    </row>
    <row r="47" spans="1:24" ht="14.5" x14ac:dyDescent="0.35">
      <c r="A47"/>
      <c r="B47" s="11" t="s">
        <v>63</v>
      </c>
      <c r="C47" s="11"/>
      <c r="D47" s="12"/>
      <c r="E47" s="13">
        <v>22000</v>
      </c>
    </row>
    <row r="48" spans="1:24" ht="14.5" x14ac:dyDescent="0.35">
      <c r="A48"/>
      <c r="B48" s="11" t="s">
        <v>55</v>
      </c>
      <c r="C48" s="11"/>
      <c r="D48" s="12"/>
      <c r="E48" s="13">
        <v>30000</v>
      </c>
    </row>
    <row r="49" spans="1:12" ht="14.5" x14ac:dyDescent="0.35">
      <c r="A49"/>
      <c r="B49" s="48" t="s">
        <v>446</v>
      </c>
      <c r="L49" s="48" t="s">
        <v>447</v>
      </c>
    </row>
    <row r="50" spans="1:12" ht="14.5" x14ac:dyDescent="0.35">
      <c r="A50"/>
    </row>
    <row r="51" spans="1:12" ht="14.5" x14ac:dyDescent="0.35">
      <c r="A51"/>
    </row>
    <row r="52" spans="1:12" ht="14.5" x14ac:dyDescent="0.35">
      <c r="A52"/>
    </row>
    <row r="53" spans="1:12" ht="14.5" x14ac:dyDescent="0.35">
      <c r="A53"/>
    </row>
    <row r="54" spans="1:12" ht="14.5" x14ac:dyDescent="0.35">
      <c r="A54"/>
    </row>
    <row r="55" spans="1:12" ht="14.5" x14ac:dyDescent="0.35">
      <c r="A55"/>
    </row>
    <row r="56" spans="1:12" ht="14.5" x14ac:dyDescent="0.35">
      <c r="A56"/>
    </row>
    <row r="57" spans="1:12" ht="14.5" x14ac:dyDescent="0.35">
      <c r="A57"/>
    </row>
    <row r="58" spans="1:12" ht="14.5" x14ac:dyDescent="0.35">
      <c r="A58"/>
    </row>
    <row r="59" spans="1:12" ht="14.5" x14ac:dyDescent="0.35">
      <c r="A59"/>
    </row>
    <row r="60" spans="1:12" ht="14.5" x14ac:dyDescent="0.35">
      <c r="A60"/>
    </row>
    <row r="61" spans="1:12" ht="14.5" x14ac:dyDescent="0.35">
      <c r="A61"/>
    </row>
    <row r="62" spans="1:12" ht="14.5" x14ac:dyDescent="0.35">
      <c r="A62"/>
    </row>
  </sheetData>
  <hyperlinks>
    <hyperlink ref="A1" location="Main!A1" display="Main" xr:uid="{5E6A4119-6CB3-4DE8-85D8-71624588AB5F}"/>
    <hyperlink ref="B7" r:id="rId1" xr:uid="{1DBE1AD0-E144-4B11-A369-C38208461D50}"/>
    <hyperlink ref="B3" r:id="rId2" xr:uid="{9E979F32-3FB9-4155-8C38-6368365757C8}"/>
    <hyperlink ref="B4" r:id="rId3" xr:uid="{7B3BF246-9F57-4E65-999A-345E6DC43A15}"/>
    <hyperlink ref="B6" r:id="rId4" xr:uid="{EBAD1208-6B7E-4686-85C8-90DFDB7B9D36}"/>
    <hyperlink ref="B11" r:id="rId5" xr:uid="{0E4A8717-CB7F-480C-A1D1-B315F728D1CA}"/>
    <hyperlink ref="B34" r:id="rId6" xr:uid="{E112D5EE-DF74-4C8E-8A8A-40FA1E1DA6A2}"/>
    <hyperlink ref="B35" r:id="rId7" xr:uid="{803C9F9C-5FB9-4D21-9B63-E7586C7DD545}"/>
    <hyperlink ref="B44" r:id="rId8" xr:uid="{B9AD6732-3E45-4F0C-8171-C60C9015033B}"/>
    <hyperlink ref="B37" r:id="rId9" xr:uid="{B9878397-9C9E-4F92-A581-0B74CE163EA7}"/>
    <hyperlink ref="B5" r:id="rId10" xr:uid="{F5EB23D2-9CA1-4670-BCFD-EEE188C17DBB}"/>
    <hyperlink ref="B16" r:id="rId11" xr:uid="{4A2120E9-733C-4D1E-9693-EC5B041CD1E7}"/>
    <hyperlink ref="B23" r:id="rId12" xr:uid="{2943BC17-0591-47D9-B151-044F78DA9153}"/>
    <hyperlink ref="B25" r:id="rId13" xr:uid="{22FB579D-1F2E-407F-BEE3-23755616C2A7}"/>
    <hyperlink ref="B36" r:id="rId14" xr:uid="{1213A72C-C386-4DF4-98C7-FCAE90418CC4}"/>
    <hyperlink ref="B32" r:id="rId15" xr:uid="{FC0D5A30-0015-4D0C-A208-3EF736C64E5F}"/>
  </hyperlinks>
  <pageMargins left="0.7" right="0.7" top="0.75" bottom="0.75" header="0.3" footer="0.3"/>
  <pageSetup orientation="portrait" r:id="rId1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7CF4-895A-4CDE-92B2-BF34D258BE21}">
  <dimension ref="A1:AD23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796875" defaultRowHeight="12.5" x14ac:dyDescent="0.25"/>
  <cols>
    <col min="1" max="1" width="5" style="83" bestFit="1" customWidth="1"/>
    <col min="2" max="2" width="17" style="83" bestFit="1" customWidth="1"/>
    <col min="3" max="9" width="9.1796875" style="83"/>
    <col min="10" max="10" width="9.1796875" style="84"/>
    <col min="11" max="24" width="9.1796875" style="83"/>
    <col min="25" max="27" width="9.1796875" style="102"/>
    <col min="28" max="30" width="9.1796875" style="84"/>
    <col min="31" max="16384" width="9.1796875" style="83"/>
  </cols>
  <sheetData>
    <row r="1" spans="1:30" x14ac:dyDescent="0.25">
      <c r="A1" s="4" t="s">
        <v>142</v>
      </c>
    </row>
    <row r="2" spans="1:30" x14ac:dyDescent="0.25">
      <c r="B2" s="111" t="s">
        <v>0</v>
      </c>
      <c r="C2" s="112" t="s">
        <v>1</v>
      </c>
      <c r="D2" s="113" t="s">
        <v>2</v>
      </c>
      <c r="E2" s="114" t="s">
        <v>3</v>
      </c>
      <c r="F2" s="115" t="s">
        <v>4</v>
      </c>
      <c r="G2" s="115" t="s">
        <v>5</v>
      </c>
      <c r="H2" s="115" t="s">
        <v>211</v>
      </c>
      <c r="I2" s="115" t="s">
        <v>6</v>
      </c>
      <c r="J2" s="115" t="s">
        <v>222</v>
      </c>
      <c r="K2" s="116" t="s">
        <v>206</v>
      </c>
      <c r="L2" s="116" t="s">
        <v>210</v>
      </c>
      <c r="M2" s="116" t="s">
        <v>207</v>
      </c>
      <c r="N2" s="116" t="s">
        <v>208</v>
      </c>
      <c r="O2" s="117" t="s">
        <v>209</v>
      </c>
      <c r="P2" s="118" t="s">
        <v>227</v>
      </c>
      <c r="Q2" s="119" t="s">
        <v>228</v>
      </c>
      <c r="R2" s="119" t="s">
        <v>229</v>
      </c>
      <c r="S2" s="117">
        <v>2025</v>
      </c>
      <c r="T2" s="118" t="s">
        <v>226</v>
      </c>
      <c r="U2" s="116">
        <v>2023</v>
      </c>
      <c r="V2" s="116">
        <v>2024</v>
      </c>
      <c r="W2" s="117">
        <v>2025</v>
      </c>
      <c r="X2" s="83" t="s">
        <v>212</v>
      </c>
      <c r="Y2" s="102" t="s">
        <v>697</v>
      </c>
      <c r="Z2" s="102" t="s">
        <v>698</v>
      </c>
      <c r="AA2" s="102" t="s">
        <v>699</v>
      </c>
      <c r="AB2" s="84" t="s">
        <v>700</v>
      </c>
      <c r="AC2" s="84" t="s">
        <v>701</v>
      </c>
      <c r="AD2" s="84" t="s">
        <v>702</v>
      </c>
    </row>
    <row r="3" spans="1:30" s="22" customFormat="1" ht="13" x14ac:dyDescent="0.3">
      <c r="B3" s="22" t="s">
        <v>703</v>
      </c>
      <c r="D3" s="78"/>
      <c r="E3" s="79"/>
      <c r="F3" s="80"/>
      <c r="G3" s="80"/>
      <c r="H3" s="80"/>
      <c r="I3" s="80"/>
      <c r="J3" s="80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Y3" s="79"/>
      <c r="Z3" s="79"/>
      <c r="AA3" s="79"/>
      <c r="AB3" s="82">
        <f>AVERAGE(AB4:AB21)</f>
        <v>14.234379720025654</v>
      </c>
      <c r="AC3" s="82">
        <f>AVERAGE(AC4:AC21)</f>
        <v>11.880419803115229</v>
      </c>
      <c r="AD3" s="82">
        <f>AVERAGE(AD4:AD21)</f>
        <v>9.8948530840896094</v>
      </c>
    </row>
    <row r="4" spans="1:30" x14ac:dyDescent="0.25">
      <c r="A4" s="83" t="s">
        <v>251</v>
      </c>
      <c r="B4" s="83" t="s">
        <v>151</v>
      </c>
      <c r="C4" s="83" t="s">
        <v>152</v>
      </c>
      <c r="D4" s="133">
        <v>169.6</v>
      </c>
      <c r="E4" s="88">
        <v>112279</v>
      </c>
      <c r="F4" s="88">
        <v>0</v>
      </c>
      <c r="G4" s="88">
        <f t="shared" ref="G4:G11" si="0">+E4-F4</f>
        <v>112279</v>
      </c>
      <c r="Y4" s="102">
        <v>8480</v>
      </c>
      <c r="Z4" s="102">
        <v>9710</v>
      </c>
      <c r="AA4" s="102">
        <v>11080</v>
      </c>
      <c r="AB4" s="141">
        <f t="shared" ref="AB4:AD9" si="1">$G4/Y4</f>
        <v>13.240448113207547</v>
      </c>
      <c r="AC4" s="141">
        <f t="shared" si="1"/>
        <v>11.563233779608652</v>
      </c>
      <c r="AD4" s="141">
        <f t="shared" si="1"/>
        <v>10.133483754512635</v>
      </c>
    </row>
    <row r="5" spans="1:30" x14ac:dyDescent="0.25">
      <c r="B5" s="83" t="s">
        <v>289</v>
      </c>
      <c r="C5" s="83" t="s">
        <v>290</v>
      </c>
      <c r="D5" s="133">
        <v>77.58</v>
      </c>
      <c r="E5" s="88">
        <v>97863</v>
      </c>
      <c r="F5" s="88">
        <v>0</v>
      </c>
      <c r="G5" s="88">
        <f t="shared" si="0"/>
        <v>97863</v>
      </c>
      <c r="Y5" s="102">
        <v>7000</v>
      </c>
      <c r="Z5" s="102">
        <v>8350</v>
      </c>
      <c r="AA5" s="102">
        <v>9920</v>
      </c>
      <c r="AB5" s="141">
        <f t="shared" si="1"/>
        <v>13.980428571428572</v>
      </c>
      <c r="AC5" s="141">
        <f t="shared" si="1"/>
        <v>11.720119760479042</v>
      </c>
      <c r="AD5" s="141">
        <f t="shared" si="1"/>
        <v>9.8652217741935484</v>
      </c>
    </row>
    <row r="6" spans="1:30" x14ac:dyDescent="0.25">
      <c r="A6" s="83" t="s">
        <v>251</v>
      </c>
      <c r="B6" s="4" t="s">
        <v>153</v>
      </c>
      <c r="C6" s="83" t="s">
        <v>154</v>
      </c>
      <c r="D6" s="133">
        <v>360</v>
      </c>
      <c r="E6" s="88">
        <f>+D6*H6</f>
        <v>89234.429399999994</v>
      </c>
      <c r="F6" s="88">
        <f>+[68]Main!$I$5-[68]Main!$I$6</f>
        <v>3651.8559999999998</v>
      </c>
      <c r="G6" s="88">
        <f t="shared" si="0"/>
        <v>85582.573399999994</v>
      </c>
      <c r="H6" s="88">
        <f>+[68]Main!$I$3</f>
        <v>247.87341499999999</v>
      </c>
      <c r="I6" s="84" t="s">
        <v>664</v>
      </c>
      <c r="J6" s="86">
        <v>45748</v>
      </c>
      <c r="Y6" s="102">
        <v>3880</v>
      </c>
      <c r="Z6" s="102">
        <v>4710</v>
      </c>
      <c r="AA6" s="102">
        <v>5710</v>
      </c>
      <c r="AB6" s="141">
        <f t="shared" si="1"/>
        <v>22.057364278350512</v>
      </c>
      <c r="AC6" s="141">
        <f t="shared" si="1"/>
        <v>18.170397749469213</v>
      </c>
      <c r="AD6" s="141">
        <f t="shared" si="1"/>
        <v>14.988191488616462</v>
      </c>
    </row>
    <row r="7" spans="1:30" x14ac:dyDescent="0.25">
      <c r="B7" s="83" t="s">
        <v>156</v>
      </c>
      <c r="C7" s="83" t="s">
        <v>155</v>
      </c>
      <c r="D7" s="83">
        <v>95.85</v>
      </c>
      <c r="E7" s="88">
        <v>73737</v>
      </c>
      <c r="F7" s="83">
        <v>0</v>
      </c>
      <c r="G7" s="88">
        <f t="shared" si="0"/>
        <v>73737</v>
      </c>
      <c r="Y7" s="102">
        <v>5960</v>
      </c>
      <c r="Z7" s="102">
        <v>6780</v>
      </c>
      <c r="AA7" s="102">
        <v>7630</v>
      </c>
      <c r="AB7" s="141">
        <f t="shared" si="1"/>
        <v>12.371979865771813</v>
      </c>
      <c r="AC7" s="141">
        <f t="shared" si="1"/>
        <v>10.875663716814159</v>
      </c>
      <c r="AD7" s="141">
        <f t="shared" si="1"/>
        <v>9.6640891218872866</v>
      </c>
    </row>
    <row r="8" spans="1:30" ht="13" x14ac:dyDescent="0.3">
      <c r="A8" s="83" t="s">
        <v>251</v>
      </c>
      <c r="B8" s="4" t="s">
        <v>187</v>
      </c>
      <c r="C8" s="83" t="s">
        <v>188</v>
      </c>
      <c r="D8" s="133">
        <v>147</v>
      </c>
      <c r="E8" s="88">
        <f>+D8*H8</f>
        <v>50230.301897999998</v>
      </c>
      <c r="F8" s="88">
        <f>+[69]Main!$N$5-[69]Main!$N$6</f>
        <v>472.05500000000006</v>
      </c>
      <c r="G8" s="88">
        <f t="shared" si="0"/>
        <v>49758.246897999998</v>
      </c>
      <c r="H8" s="88">
        <f>+[69]Main!$N$3</f>
        <v>341.70273399999996</v>
      </c>
      <c r="I8" s="84" t="s">
        <v>610</v>
      </c>
      <c r="J8" s="86">
        <v>45561</v>
      </c>
      <c r="Y8" s="102">
        <v>1670</v>
      </c>
      <c r="Z8" s="102">
        <v>2100</v>
      </c>
      <c r="AA8" s="102">
        <v>2660</v>
      </c>
      <c r="AB8" s="141">
        <f t="shared" si="1"/>
        <v>29.795357423952094</v>
      </c>
      <c r="AC8" s="82">
        <f t="shared" si="1"/>
        <v>23.694403284761904</v>
      </c>
      <c r="AD8" s="141">
        <f t="shared" si="1"/>
        <v>18.706107856390975</v>
      </c>
    </row>
    <row r="9" spans="1:30" x14ac:dyDescent="0.25">
      <c r="B9" s="4" t="s">
        <v>180</v>
      </c>
      <c r="C9" s="83" t="s">
        <v>181</v>
      </c>
      <c r="D9" s="101">
        <v>215</v>
      </c>
      <c r="E9" s="102">
        <f>+D9*H9</f>
        <v>32989.303945</v>
      </c>
      <c r="F9" s="88">
        <f>+[70]Main!$K$5-[70]Main!$K$6</f>
        <v>1162.098</v>
      </c>
      <c r="G9" s="88">
        <f t="shared" si="0"/>
        <v>31827.205945000002</v>
      </c>
      <c r="H9" s="88">
        <f>[70]Main!$K$3</f>
        <v>153.43862300000001</v>
      </c>
      <c r="I9" s="84" t="s">
        <v>651</v>
      </c>
      <c r="J9" s="86">
        <v>45702</v>
      </c>
      <c r="Y9" s="102">
        <v>2380</v>
      </c>
      <c r="Z9" s="102">
        <v>2860</v>
      </c>
      <c r="AA9" s="102">
        <v>3440</v>
      </c>
      <c r="AB9" s="141">
        <f t="shared" si="1"/>
        <v>13.372775607142858</v>
      </c>
      <c r="AC9" s="141">
        <f t="shared" si="1"/>
        <v>11.128393687062937</v>
      </c>
      <c r="AD9" s="141">
        <f t="shared" si="1"/>
        <v>9.2520947514534893</v>
      </c>
    </row>
    <row r="10" spans="1:30" x14ac:dyDescent="0.25">
      <c r="A10" s="83" t="s">
        <v>251</v>
      </c>
      <c r="B10" s="83" t="s">
        <v>80</v>
      </c>
      <c r="C10" s="83" t="s">
        <v>81</v>
      </c>
      <c r="D10" s="101">
        <v>229.05</v>
      </c>
      <c r="E10" s="102">
        <v>24821</v>
      </c>
      <c r="F10" s="84">
        <v>0</v>
      </c>
      <c r="G10" s="88">
        <f t="shared" si="0"/>
        <v>24821</v>
      </c>
      <c r="H10" s="84"/>
    </row>
    <row r="11" spans="1:30" x14ac:dyDescent="0.25">
      <c r="B11" s="4" t="s">
        <v>191</v>
      </c>
      <c r="C11" s="83" t="s">
        <v>192</v>
      </c>
      <c r="D11" s="133">
        <v>82.09</v>
      </c>
      <c r="E11" s="88">
        <f>+D11*H11</f>
        <v>12339.566530239999</v>
      </c>
      <c r="F11" s="88">
        <f>+[15]Main!$K$5-[15]Main!$K$6</f>
        <v>-1673.636</v>
      </c>
      <c r="G11" s="88">
        <f t="shared" si="0"/>
        <v>14013.20253024</v>
      </c>
      <c r="H11" s="88">
        <f>+[15]Main!$K$3</f>
        <v>150.31753599999999</v>
      </c>
      <c r="I11" s="84" t="s">
        <v>664</v>
      </c>
      <c r="J11" s="86">
        <v>45719</v>
      </c>
      <c r="Y11" s="102">
        <v>3990</v>
      </c>
      <c r="Z11" s="102">
        <v>4120</v>
      </c>
      <c r="AA11" s="102">
        <v>4350</v>
      </c>
      <c r="AB11" s="141">
        <f>$G11/Y11</f>
        <v>3.5120808346466164</v>
      </c>
      <c r="AC11" s="141">
        <f>$G11/Z11</f>
        <v>3.4012627500582524</v>
      </c>
      <c r="AD11" s="141">
        <f>$G11/AA11</f>
        <v>3.2214258690206896</v>
      </c>
    </row>
    <row r="12" spans="1:30" x14ac:dyDescent="0.25">
      <c r="B12" s="83" t="s">
        <v>428</v>
      </c>
      <c r="C12" s="83" t="s">
        <v>429</v>
      </c>
    </row>
    <row r="13" spans="1:30" x14ac:dyDescent="0.25">
      <c r="A13" s="83" t="s">
        <v>251</v>
      </c>
      <c r="B13" s="83" t="s">
        <v>94</v>
      </c>
      <c r="C13" s="83" t="s">
        <v>95</v>
      </c>
    </row>
    <row r="14" spans="1:30" x14ac:dyDescent="0.25">
      <c r="B14" s="83" t="s">
        <v>499</v>
      </c>
      <c r="C14" s="83" t="s">
        <v>500</v>
      </c>
    </row>
    <row r="15" spans="1:30" x14ac:dyDescent="0.25">
      <c r="B15" s="83" t="s">
        <v>528</v>
      </c>
      <c r="C15" s="83" t="s">
        <v>529</v>
      </c>
    </row>
    <row r="16" spans="1:30" x14ac:dyDescent="0.25">
      <c r="B16" s="4" t="s">
        <v>534</v>
      </c>
      <c r="C16" s="83" t="s">
        <v>535</v>
      </c>
      <c r="D16" s="133">
        <v>17.7</v>
      </c>
      <c r="E16" s="88">
        <f>+D16*H16</f>
        <v>5583.6024758999993</v>
      </c>
      <c r="F16" s="88">
        <f>+[71]Main!$J$5-[71]Main!$J$6</f>
        <v>1123.8009999999999</v>
      </c>
      <c r="G16" s="88">
        <f>+E16-F16</f>
        <v>4459.8014758999998</v>
      </c>
      <c r="H16" s="88">
        <f>+[71]Main!$J$3</f>
        <v>315.45776699999999</v>
      </c>
      <c r="I16" s="84" t="s">
        <v>651</v>
      </c>
      <c r="J16" s="86">
        <v>45748</v>
      </c>
      <c r="Y16" s="102">
        <v>804.35</v>
      </c>
      <c r="Z16" s="102">
        <v>993.3</v>
      </c>
      <c r="AA16" s="102">
        <v>1340</v>
      </c>
      <c r="AB16" s="141">
        <f>$G16/Y16</f>
        <v>5.5446030657052274</v>
      </c>
      <c r="AC16" s="141">
        <f>$G16/Z16</f>
        <v>4.4898836966676736</v>
      </c>
      <c r="AD16" s="141">
        <f>$G16/AA16</f>
        <v>3.3282100566417907</v>
      </c>
    </row>
    <row r="17" spans="2:5" x14ac:dyDescent="0.25">
      <c r="B17" s="83" t="s">
        <v>552</v>
      </c>
      <c r="C17" s="83" t="s">
        <v>553</v>
      </c>
    </row>
    <row r="18" spans="2:5" x14ac:dyDescent="0.25">
      <c r="B18" s="83" t="s">
        <v>566</v>
      </c>
      <c r="C18" s="83" t="s">
        <v>567</v>
      </c>
    </row>
    <row r="19" spans="2:5" x14ac:dyDescent="0.25">
      <c r="B19" s="83" t="s">
        <v>596</v>
      </c>
      <c r="C19" s="83" t="s">
        <v>597</v>
      </c>
    </row>
    <row r="20" spans="2:5" x14ac:dyDescent="0.25">
      <c r="B20" s="83" t="s">
        <v>689</v>
      </c>
      <c r="C20" s="83" t="s">
        <v>690</v>
      </c>
      <c r="D20" s="133"/>
    </row>
    <row r="21" spans="2:5" x14ac:dyDescent="0.25">
      <c r="B21" s="83" t="s">
        <v>730</v>
      </c>
      <c r="C21" s="83" t="s">
        <v>731</v>
      </c>
    </row>
    <row r="23" spans="2:5" x14ac:dyDescent="0.25">
      <c r="B23" s="83" t="s">
        <v>652</v>
      </c>
      <c r="C23" s="83" t="s">
        <v>246</v>
      </c>
      <c r="E23" s="83">
        <v>3000</v>
      </c>
    </row>
  </sheetData>
  <hyperlinks>
    <hyperlink ref="A1" location="Main!A1" display="Main" xr:uid="{8911E9A3-ACF0-4B55-98BB-1EFB77BE02DE}"/>
    <hyperlink ref="B8" r:id="rId1" xr:uid="{E631AFBD-2204-44CC-85D1-53FBF27BF681}"/>
    <hyperlink ref="B9" r:id="rId2" xr:uid="{4C039C03-34B6-4015-817A-2A7270682FB5}"/>
    <hyperlink ref="B11" r:id="rId3" xr:uid="{8401614B-19A8-4528-B8D8-58C3F54EB3EF}"/>
    <hyperlink ref="B16" r:id="rId4" xr:uid="{070FAAA3-FA1B-4848-B680-259620166328}"/>
    <hyperlink ref="B6" r:id="rId5" xr:uid="{354B4C14-8118-448B-A9FB-6926D1E66B50}"/>
  </hyperlinks>
  <pageMargins left="0.7" right="0.7" top="0.75" bottom="0.75" header="0.3" footer="0.3"/>
  <pageSetup paperSize="9" orientation="portrait"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0321-4AE5-45B4-8FB8-F8D64CF71E0E}">
  <dimension ref="A1:C7"/>
  <sheetViews>
    <sheetView zoomScale="145" zoomScaleNormal="145" workbookViewId="0"/>
  </sheetViews>
  <sheetFormatPr defaultColWidth="9.1796875" defaultRowHeight="12.5" x14ac:dyDescent="0.25"/>
  <cols>
    <col min="1" max="1" width="5" style="16" bestFit="1" customWidth="1"/>
    <col min="2" max="16384" width="9.1796875" style="16"/>
  </cols>
  <sheetData>
    <row r="1" spans="1:3" x14ac:dyDescent="0.25">
      <c r="A1" s="4" t="s">
        <v>142</v>
      </c>
    </row>
    <row r="2" spans="1:3" x14ac:dyDescent="0.25">
      <c r="B2" s="16" t="s">
        <v>146</v>
      </c>
      <c r="C2" s="16">
        <v>7.8498000000000001</v>
      </c>
    </row>
    <row r="3" spans="1:3" x14ac:dyDescent="0.25">
      <c r="B3" s="16" t="s">
        <v>147</v>
      </c>
      <c r="C3" s="16">
        <v>6.74</v>
      </c>
    </row>
    <row r="4" spans="1:3" x14ac:dyDescent="0.25">
      <c r="B4" s="16" t="s">
        <v>205</v>
      </c>
      <c r="C4" s="16">
        <v>1.01</v>
      </c>
    </row>
    <row r="5" spans="1:3" x14ac:dyDescent="0.25">
      <c r="B5" s="16" t="s">
        <v>223</v>
      </c>
      <c r="C5" s="57">
        <v>10.54</v>
      </c>
    </row>
    <row r="6" spans="1:3" x14ac:dyDescent="0.25">
      <c r="B6" s="17" t="s">
        <v>231</v>
      </c>
      <c r="C6" s="16">
        <v>136.93</v>
      </c>
    </row>
    <row r="7" spans="1:3" x14ac:dyDescent="0.25">
      <c r="B7" s="17" t="s">
        <v>232</v>
      </c>
      <c r="C7" s="16">
        <v>1.2991999999999999</v>
      </c>
    </row>
  </sheetData>
  <hyperlinks>
    <hyperlink ref="A1" location="Main!A1" display="Main" xr:uid="{CA8672F6-BB57-4BF8-83E1-A8CF0133433F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831F-FB2E-134D-9E1A-7188BFBB74B9}">
  <dimension ref="A1:G11"/>
  <sheetViews>
    <sheetView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defaultColWidth="9.1796875" defaultRowHeight="12.5" x14ac:dyDescent="0.25"/>
  <cols>
    <col min="1" max="1" width="5" style="5" bestFit="1" customWidth="1"/>
    <col min="2" max="2" width="19.7265625" style="5" bestFit="1" customWidth="1"/>
    <col min="3" max="3" width="9.1796875" style="6"/>
    <col min="4" max="16384" width="9.1796875" style="5"/>
  </cols>
  <sheetData>
    <row r="1" spans="1:7" x14ac:dyDescent="0.25">
      <c r="A1" s="4" t="s">
        <v>142</v>
      </c>
    </row>
    <row r="2" spans="1:7" x14ac:dyDescent="0.25">
      <c r="B2" s="5" t="s">
        <v>0</v>
      </c>
      <c r="C2" s="6" t="s">
        <v>145</v>
      </c>
      <c r="D2" s="10" t="s">
        <v>201</v>
      </c>
      <c r="E2" s="17" t="s">
        <v>212</v>
      </c>
      <c r="F2" s="17" t="s">
        <v>234</v>
      </c>
      <c r="G2" s="19" t="s">
        <v>238</v>
      </c>
    </row>
    <row r="3" spans="1:7" x14ac:dyDescent="0.25">
      <c r="B3" s="7" t="s">
        <v>33</v>
      </c>
      <c r="C3" s="6">
        <v>100000</v>
      </c>
      <c r="D3" s="10" t="s">
        <v>202</v>
      </c>
    </row>
    <row r="4" spans="1:7" x14ac:dyDescent="0.25">
      <c r="B4" s="5" t="s">
        <v>86</v>
      </c>
      <c r="C4" s="6">
        <v>15000</v>
      </c>
      <c r="D4" s="10" t="s">
        <v>202</v>
      </c>
    </row>
    <row r="5" spans="1:7" x14ac:dyDescent="0.25">
      <c r="B5" s="5" t="s">
        <v>120</v>
      </c>
      <c r="C5" s="6">
        <v>8000</v>
      </c>
      <c r="D5" s="10" t="s">
        <v>203</v>
      </c>
    </row>
    <row r="6" spans="1:7" x14ac:dyDescent="0.25">
      <c r="B6" s="5" t="s">
        <v>140</v>
      </c>
      <c r="D6" s="10" t="s">
        <v>204</v>
      </c>
    </row>
    <row r="7" spans="1:7" x14ac:dyDescent="0.25">
      <c r="B7" s="5" t="s">
        <v>141</v>
      </c>
      <c r="D7" s="10" t="s">
        <v>204</v>
      </c>
    </row>
    <row r="8" spans="1:7" x14ac:dyDescent="0.25">
      <c r="B8" s="10" t="s">
        <v>199</v>
      </c>
      <c r="D8" s="10" t="s">
        <v>200</v>
      </c>
    </row>
    <row r="9" spans="1:7" x14ac:dyDescent="0.25">
      <c r="B9" s="17" t="s">
        <v>233</v>
      </c>
      <c r="D9" s="17" t="s">
        <v>202</v>
      </c>
      <c r="E9" s="5">
        <v>2021</v>
      </c>
      <c r="F9" s="17" t="s">
        <v>235</v>
      </c>
      <c r="G9" s="19" t="s">
        <v>239</v>
      </c>
    </row>
    <row r="10" spans="1:7" x14ac:dyDescent="0.25">
      <c r="B10" s="19" t="s">
        <v>236</v>
      </c>
      <c r="D10" s="19" t="s">
        <v>237</v>
      </c>
      <c r="E10" s="5">
        <v>2021</v>
      </c>
      <c r="G10" s="19" t="s">
        <v>239</v>
      </c>
    </row>
    <row r="11" spans="1:7" x14ac:dyDescent="0.25">
      <c r="B11" s="36" t="s">
        <v>385</v>
      </c>
      <c r="D11" s="36" t="s">
        <v>386</v>
      </c>
    </row>
  </sheetData>
  <hyperlinks>
    <hyperlink ref="A1" location="Main!A1" display="Main" xr:uid="{F0FD3AE8-EA92-47CC-9713-F9163090CCA8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Acquisitions</vt:lpstr>
      <vt:lpstr>People</vt:lpstr>
      <vt:lpstr>Glossary</vt:lpstr>
      <vt:lpstr>Revenue</vt:lpstr>
      <vt:lpstr>Historical</vt:lpstr>
      <vt:lpstr>Main-AI</vt:lpstr>
      <vt:lpstr>Enterprise-Cloud</vt:lpstr>
      <vt:lpstr>Social-Dating</vt:lpstr>
      <vt:lpstr>Simulation-Technical Design</vt:lpstr>
      <vt:lpstr>Media-Games-Design</vt:lpstr>
      <vt:lpstr>Fintech</vt:lpstr>
      <vt:lpstr>Healthcare</vt:lpstr>
      <vt:lpstr>Ecommerce</vt:lpstr>
      <vt:lpstr>Security</vt:lpstr>
      <vt:lpstr>FX</vt:lpstr>
      <vt:lpstr>Private</vt:lpstr>
      <vt:lpstr>CAD</vt:lpstr>
      <vt:lpstr>EUR</vt:lpstr>
      <vt:lpstr>HKD</vt:lpstr>
      <vt:lpstr>JPY</vt:lpstr>
      <vt:lpstr>RMB</vt:lpstr>
      <vt:lpstr>SEK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2022-07-14T18:55:24Z</dcterms:created>
  <dcterms:modified xsi:type="dcterms:W3CDTF">2026-06-29T12:59:49Z</dcterms:modified>
  <cp:category/>
  <cp:contentStatus/>
</cp:coreProperties>
</file>