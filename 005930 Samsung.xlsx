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4CF3C8E-1C24-4EBE-A7A3-18EFA3D763C5}" xr6:coauthVersionLast="47" xr6:coauthVersionMax="47" xr10:uidLastSave="{00000000-0000-0000-0000-000000000000}"/>
  <bookViews>
    <workbookView xWindow="1140" yWindow="1140" windowWidth="22360" windowHeight="16580" activeTab="1" xr2:uid="{6A2719AE-EB82-44C6-B150-281E64F8B0C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2" l="1"/>
  <c r="R17" i="2" s="1"/>
  <c r="R19" i="2" s="1"/>
  <c r="R20" i="2" s="1"/>
  <c r="R22" i="2" s="1"/>
  <c r="R24" i="2" s="1"/>
  <c r="R16" i="2"/>
  <c r="R15" i="2" s="1"/>
  <c r="Q16" i="2"/>
  <c r="Q15" i="2"/>
  <c r="Q19" i="2"/>
  <c r="Q20" i="2" s="1"/>
  <c r="Q22" i="2" s="1"/>
  <c r="Q24" i="2" s="1"/>
  <c r="R27" i="2"/>
  <c r="Q27" i="2"/>
  <c r="R26" i="2"/>
  <c r="Q26" i="2"/>
  <c r="Q14" i="2"/>
  <c r="R14" i="2"/>
  <c r="O26" i="2"/>
  <c r="N26" i="2"/>
  <c r="M26" i="2"/>
  <c r="L26" i="2"/>
  <c r="P26" i="2"/>
  <c r="P27" i="2"/>
  <c r="P19" i="2"/>
  <c r="P20" i="2" s="1"/>
  <c r="P22" i="2" s="1"/>
  <c r="P24" i="2" s="1"/>
  <c r="P17" i="2"/>
  <c r="P15" i="2"/>
  <c r="P16" i="2"/>
  <c r="N23" i="2"/>
  <c r="N21" i="2"/>
  <c r="N17" i="2"/>
  <c r="N19" i="2" s="1"/>
  <c r="N15" i="2"/>
  <c r="N14" i="2"/>
  <c r="AC27" i="2"/>
  <c r="AB27" i="2"/>
  <c r="AA27" i="2"/>
  <c r="Z27" i="2"/>
  <c r="Y27" i="2"/>
  <c r="X27" i="2"/>
  <c r="W27" i="2"/>
  <c r="V27" i="2"/>
  <c r="U27" i="2"/>
  <c r="T27" i="2"/>
  <c r="AB26" i="2"/>
  <c r="AA26" i="2"/>
  <c r="Z26" i="2"/>
  <c r="Y26" i="2"/>
  <c r="X26" i="2"/>
  <c r="W26" i="2"/>
  <c r="V26" i="2"/>
  <c r="U26" i="2"/>
  <c r="AC26" i="2"/>
  <c r="AC21" i="2"/>
  <c r="AB21" i="2"/>
  <c r="AB16" i="2"/>
  <c r="AC22" i="2"/>
  <c r="AC24" i="2" s="1"/>
  <c r="AC20" i="2"/>
  <c r="AC19" i="2"/>
  <c r="AB19" i="2"/>
  <c r="AB20" i="2" s="1"/>
  <c r="AC16" i="2"/>
  <c r="I21" i="2"/>
  <c r="I16" i="2"/>
  <c r="M21" i="2"/>
  <c r="O27" i="2"/>
  <c r="L27" i="2"/>
  <c r="J27" i="2"/>
  <c r="I27" i="2"/>
  <c r="H27" i="2"/>
  <c r="H24" i="2"/>
  <c r="H22" i="2"/>
  <c r="H21" i="2"/>
  <c r="I19" i="2"/>
  <c r="I20" i="2" s="1"/>
  <c r="I22" i="2" s="1"/>
  <c r="I24" i="2" s="1"/>
  <c r="H19" i="2"/>
  <c r="H20" i="2" s="1"/>
  <c r="H16" i="2"/>
  <c r="L21" i="2"/>
  <c r="N16" i="2"/>
  <c r="N27" i="2" s="1"/>
  <c r="M16" i="2"/>
  <c r="M27" i="2" s="1"/>
  <c r="L16" i="2"/>
  <c r="K21" i="2"/>
  <c r="O21" i="2"/>
  <c r="K24" i="2"/>
  <c r="O22" i="2"/>
  <c r="O24" i="2" s="1"/>
  <c r="K22" i="2"/>
  <c r="O20" i="2"/>
  <c r="K20" i="2"/>
  <c r="M19" i="2"/>
  <c r="L19" i="2"/>
  <c r="L20" i="2" s="1"/>
  <c r="L22" i="2" s="1"/>
  <c r="L24" i="2" s="1"/>
  <c r="K19" i="2"/>
  <c r="J19" i="2"/>
  <c r="O19" i="2"/>
  <c r="J20" i="2"/>
  <c r="K27" i="2"/>
  <c r="K16" i="2"/>
  <c r="O16" i="2"/>
  <c r="K5" i="1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T32" i="2"/>
  <c r="T19" i="2"/>
  <c r="T16" i="2"/>
  <c r="U32" i="2"/>
  <c r="U19" i="2"/>
  <c r="U16" i="2"/>
  <c r="V32" i="2"/>
  <c r="V19" i="2"/>
  <c r="V16" i="2"/>
  <c r="W32" i="2"/>
  <c r="W19" i="2"/>
  <c r="W16" i="2"/>
  <c r="X32" i="2"/>
  <c r="X19" i="2"/>
  <c r="X16" i="2"/>
  <c r="Y32" i="2"/>
  <c r="Y19" i="2"/>
  <c r="Y16" i="2"/>
  <c r="Z32" i="2"/>
  <c r="AA19" i="2"/>
  <c r="Z19" i="2"/>
  <c r="AA16" i="2"/>
  <c r="Z16" i="2"/>
  <c r="K4" i="1"/>
  <c r="K7" i="1" s="1"/>
  <c r="K3" i="1"/>
  <c r="J32" i="2"/>
  <c r="AA32" i="2"/>
  <c r="AB32" i="2"/>
  <c r="AA9" i="2"/>
  <c r="J9" i="2"/>
  <c r="I9" i="2"/>
  <c r="F9" i="2"/>
  <c r="J17" i="2"/>
  <c r="J16" i="2"/>
  <c r="N20" i="2" l="1"/>
  <c r="N22" i="2" s="1"/>
  <c r="N24" i="2" s="1"/>
  <c r="AB22" i="2"/>
  <c r="AB24" i="2" s="1"/>
  <c r="M20" i="2"/>
  <c r="M22" i="2" s="1"/>
  <c r="M24" i="2" s="1"/>
  <c r="AA20" i="2"/>
  <c r="AA22" i="2" s="1"/>
  <c r="AA24" i="2" s="1"/>
  <c r="Z20" i="2"/>
  <c r="Z22" i="2" s="1"/>
  <c r="Z24" i="2" s="1"/>
  <c r="W20" i="2"/>
  <c r="W22" i="2" s="1"/>
  <c r="W24" i="2" s="1"/>
  <c r="U20" i="2"/>
  <c r="U22" i="2" s="1"/>
  <c r="U24" i="2" s="1"/>
  <c r="T20" i="2"/>
  <c r="T22" i="2" s="1"/>
  <c r="T24" i="2" s="1"/>
  <c r="V20" i="2"/>
  <c r="V22" i="2" s="1"/>
  <c r="V24" i="2" s="1"/>
  <c r="X20" i="2"/>
  <c r="X22" i="2" s="1"/>
  <c r="X24" i="2" s="1"/>
  <c r="Y20" i="2"/>
  <c r="Y22" i="2" s="1"/>
  <c r="Y24" i="2" s="1"/>
  <c r="J22" i="2"/>
  <c r="J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tc={48C20112-7265-4020-93A3-517C6FD85AAF}</author>
    <author>tc={085E72A7-9F27-46D1-B8C1-315239BED90B}</author>
  </authors>
  <commentList>
    <comment ref="J10" authorId="0" shapeId="0" xr:uid="{48C20112-7265-4020-93A3-517C6FD85AAF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ASP, but mobile and PC demand remained soft</t>
      </text>
    </comment>
    <comment ref="O10" authorId="1" shapeId="0" xr:uid="{085E72A7-9F27-46D1-B8C1-315239BED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price +146% y/y</t>
      </text>
    </comment>
  </commentList>
</comments>
</file>

<file path=xl/sharedStrings.xml><?xml version="1.0" encoding="utf-8"?>
<sst xmlns="http://schemas.openxmlformats.org/spreadsheetml/2006/main" count="64" uniqueCount="58">
  <si>
    <t>Price KRW</t>
  </si>
  <si>
    <t>Shares</t>
  </si>
  <si>
    <t>MC KRW</t>
  </si>
  <si>
    <t>Cash KRW</t>
  </si>
  <si>
    <t>Debt KRW</t>
  </si>
  <si>
    <t>EV KRW</t>
  </si>
  <si>
    <t>Main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</si>
  <si>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</si>
  <si>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</si>
  <si>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</si>
  <si>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</si>
  <si>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</si>
  <si>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</si>
  <si>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</si>
  <si>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</si>
  <si>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</si>
  <si>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Devices</t>
  </si>
  <si>
    <t>Device Solutions</t>
  </si>
  <si>
    <t>SDC</t>
  </si>
  <si>
    <t>Memory</t>
  </si>
  <si>
    <t>Harman</t>
  </si>
  <si>
    <t>DRAM</t>
  </si>
  <si>
    <t>HBM, DDR5</t>
  </si>
  <si>
    <t>S.LSI</t>
  </si>
  <si>
    <t>Foundry</t>
  </si>
  <si>
    <t>SDC (Display)</t>
  </si>
  <si>
    <t>Mobile, TV, Monitors</t>
  </si>
  <si>
    <t>Mobile Experience (Devices)</t>
  </si>
  <si>
    <t>S24</t>
  </si>
  <si>
    <t>FCF</t>
  </si>
  <si>
    <t>CX</t>
  </si>
  <si>
    <t>Gross Profit</t>
  </si>
  <si>
    <t>COGS</t>
  </si>
  <si>
    <t>Operating Expenses</t>
  </si>
  <si>
    <t>Operating Income</t>
  </si>
  <si>
    <t>Pretax Income</t>
  </si>
  <si>
    <t>Taxes</t>
  </si>
  <si>
    <t>Net Income</t>
  </si>
  <si>
    <t>SG&amp;A</t>
  </si>
  <si>
    <t>Q126</t>
  </si>
  <si>
    <t>Q125</t>
  </si>
  <si>
    <t>Q225</t>
  </si>
  <si>
    <t>Q325</t>
  </si>
  <si>
    <t>Q425</t>
  </si>
  <si>
    <t>Q226</t>
  </si>
  <si>
    <t>Q326</t>
  </si>
  <si>
    <t>Q426</t>
  </si>
  <si>
    <t>Smartphones</t>
  </si>
  <si>
    <t>1,144</t>
  </si>
  <si>
    <t>1,265</t>
  </si>
  <si>
    <t>TVs/Monitors</t>
  </si>
  <si>
    <t>309</t>
  </si>
  <si>
    <t>845</t>
  </si>
  <si>
    <t>1,041</t>
  </si>
  <si>
    <t>Revenue y/y</t>
  </si>
  <si>
    <t>Gross Margin</t>
  </si>
  <si>
    <t>Interest Income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</si>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</sst>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1"/>
    <xf numFmtId="0" fontId="3" fillId="0" borderId="0" xfId="0" applyFont="1"/>
    <xf numFmtId="3" fontId="0" fillId="0" borderId="0" xfId="0" applyNumberForma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164" fontId="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6CBC97-DEB0-40C3-90D3-6235641E4E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43542</xdr:colOff>
      <xdr:row>0</xdr:row>
      <xdr:rowOff>0</xdr:rowOff>
    </xdr:from>
    <xdr:to>
      <xdr:col>29</xdr:col>
      <xdr:colOff>43542</xdr:colOff>
      <xdr:row>45</xdr:row>
      <xdr:rowOff>141514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AF8893-4CF8-3916-FF53-DF1C5AFD7A74}"/>
            </a:ext>
          </a:extLst>
        </xdr:cNvPr>
        <xdr:cNvCxnSpPr/>
      </xdr:nvCxnSpPr>
      <xdr:spPr>
        <a:xfrm>
          <a:off x="18160999" y="0"/>
          <a:ext cx="0" cy="73551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36286</xdr:colOff>
      <xdr:row>0</xdr:row>
      <xdr:rowOff>7257</xdr:rowOff>
    </xdr:from>
    <xdr:to>
      <xdr:col>15</xdr:col>
      <xdr:colOff>36286</xdr:colOff>
      <xdr:row>32</xdr:row>
      <xdr:rowOff>50800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BF6240-997D-6145-B037-4BB5297A7E2A}"/>
            </a:ext>
          </a:extLst>
        </xdr:cNvPr>
        <xdr:cNvCxnSpPr/>
      </xdr:nvCxnSpPr>
      <xdr:spPr>
        <a:xfrm>
          <a:off x="9619343" y="7257"/>
          <a:ext cx="0" cy="5181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EDE6357-ACE7-4299-A49F-A609B036F645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5-03-17T18:32:24.51" personId="{FEDE6357-ACE7-4299-A49F-A609B036F645}" id="{48C20112-7265-4020-93A3-517C6FD85AAF}">
    <text>Higher ASP, but mobile and PC demand remained soft</text>
  </threadedComment>
  <threadedComment ref="O10" dT="2026-07-08T14:35:42.81" personId="{FEDE6357-ACE7-4299-A49F-A609B036F645}" id="{085E72A7-9F27-46D1-B8C1-315239BED90B}">
    <text>Memory price +146% y/y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36D8-8BEC-401C-85FF-B30C364282EA}">
  <dimension ref="B2:L15"/>
  <sheetViews>
    <sheetView zoomScale="160" zoomScaleNormal="160" workbookViewId="0">
      <selection activeCell="K1" sqref="K1"/>
    </sheetView>
  </sheetViews>
  <sheetFormatPr defaultRowHeight="12.5" x14ac:dyDescent="0.25"/>
  <cols>
    <col min="10" max="10" width="11" customWidth="1"/>
    <col min="11" max="11" width="12.26953125" bestFit="1" customWidth="1"/>
  </cols>
  <sheetData>
    <row r="2" spans="2:12" x14ac:dyDescent="0.25">
      <c r="J2" t="s">
        <v>0</v>
      </c>
      <c r="K2" s="7">
        <v>285000</v>
      </c>
    </row>
    <row r="3" spans="2:12" ht="13" x14ac:dyDescent="0.3">
      <c r="B3" s="5" t="s">
        <v>17</v>
      </c>
      <c r="J3" t="s">
        <v>1</v>
      </c>
      <c r="K3" s="7">
        <f>5940.08255+818.8367</f>
        <v>6758.9192499999999</v>
      </c>
      <c r="L3" s="1" t="s">
        <v>15</v>
      </c>
    </row>
    <row r="4" spans="2:12" x14ac:dyDescent="0.25">
      <c r="B4" t="s">
        <v>21</v>
      </c>
      <c r="J4" t="s">
        <v>2</v>
      </c>
      <c r="K4" s="7">
        <f>+K2*K3/1000</f>
        <v>1926291.9862500001</v>
      </c>
    </row>
    <row r="5" spans="2:12" x14ac:dyDescent="0.25">
      <c r="C5" t="s">
        <v>22</v>
      </c>
      <c r="J5" t="s">
        <v>3</v>
      </c>
      <c r="K5" s="7">
        <f>147378.1+54619.6</f>
        <v>201997.7</v>
      </c>
      <c r="L5" s="1" t="s">
        <v>39</v>
      </c>
    </row>
    <row r="6" spans="2:12" x14ac:dyDescent="0.25">
      <c r="B6" t="s">
        <v>23</v>
      </c>
      <c r="J6" t="s">
        <v>4</v>
      </c>
      <c r="K6" s="7">
        <v>28138.799999999999</v>
      </c>
      <c r="L6" s="1" t="s">
        <v>39</v>
      </c>
    </row>
    <row r="7" spans="2:12" x14ac:dyDescent="0.25">
      <c r="B7" t="s">
        <v>24</v>
      </c>
      <c r="J7" t="s">
        <v>5</v>
      </c>
      <c r="K7" s="7">
        <f>+K4-K5+K6</f>
        <v>1752433.0862500002</v>
      </c>
    </row>
    <row r="10" spans="2:12" ht="13" x14ac:dyDescent="0.3">
      <c r="B10" s="5" t="s">
        <v>25</v>
      </c>
    </row>
    <row r="11" spans="2:12" x14ac:dyDescent="0.25">
      <c r="C11" t="s">
        <v>26</v>
      </c>
    </row>
    <row r="14" spans="2:12" ht="13" x14ac:dyDescent="0.3">
      <c r="B14" s="5" t="s">
        <v>27</v>
      </c>
    </row>
    <row r="15" spans="2:12" x14ac:dyDescent="0.25"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7B31-AFAC-4034-9829-B9D8FF64661F}">
  <dimension ref="A1:AM32"/>
  <sheetViews>
    <sheetView tabSelected="1" zoomScale="175" zoomScaleNormal="175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C15" sqref="C15"/>
    </sheetView>
  </sheetViews>
  <sheetFormatPr defaultRowHeight="12.5" x14ac:dyDescent="0.25"/>
  <cols>
    <col min="1" max="1" width="5" bestFit="1" customWidth="1"/>
    <col min="2" max="2" width="18" customWidth="1"/>
    <col min="3" max="10" width="9.1796875" style="1"/>
    <col min="11" max="17" width="8.7265625" style="1"/>
  </cols>
  <sheetData>
    <row r="1" spans="1:39" x14ac:dyDescent="0.25">
      <c r="A1" s="4" t="s">
        <v>6</v>
      </c>
    </row>
    <row r="2" spans="1:39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39</v>
      </c>
      <c r="P2" s="1" t="s">
        <v>44</v>
      </c>
      <c r="Q2" s="1" t="s">
        <v>45</v>
      </c>
      <c r="R2" s="1" t="s">
        <v>46</v>
      </c>
      <c r="T2">
        <v>2016</v>
      </c>
      <c r="U2">
        <v>2017</v>
      </c>
      <c r="V2">
        <v>2018</v>
      </c>
      <c r="W2">
        <v>2019</v>
      </c>
      <c r="X2">
        <v>2020</v>
      </c>
      <c r="Y2">
        <v>2021</v>
      </c>
      <c r="Z2">
        <v>2022</v>
      </c>
      <c r="AA2">
        <v>2023</v>
      </c>
      <c r="AB2">
        <v>2024</v>
      </c>
      <c r="AC2">
        <f t="shared" ref="AC2:AM2" si="0">+AB2+1</f>
        <v>2025</v>
      </c>
      <c r="AD2">
        <f t="shared" si="0"/>
        <v>2026</v>
      </c>
      <c r="AE2">
        <f t="shared" si="0"/>
        <v>2027</v>
      </c>
      <c r="AF2">
        <f t="shared" si="0"/>
        <v>2028</v>
      </c>
      <c r="AG2">
        <f t="shared" si="0"/>
        <v>2029</v>
      </c>
      <c r="AH2">
        <f t="shared" si="0"/>
        <v>2030</v>
      </c>
      <c r="AI2">
        <f t="shared" si="0"/>
        <v>2031</v>
      </c>
      <c r="AJ2">
        <f t="shared" si="0"/>
        <v>2032</v>
      </c>
      <c r="AK2">
        <f t="shared" si="0"/>
        <v>2033</v>
      </c>
      <c r="AL2">
        <f t="shared" si="0"/>
        <v>2034</v>
      </c>
      <c r="AM2">
        <f t="shared" si="0"/>
        <v>2035</v>
      </c>
    </row>
    <row r="3" spans="1:39" x14ac:dyDescent="0.25">
      <c r="R3" s="1"/>
    </row>
    <row r="4" spans="1:39" x14ac:dyDescent="0.25">
      <c r="R4" s="1"/>
    </row>
    <row r="5" spans="1:39" x14ac:dyDescent="0.25">
      <c r="R5" s="1"/>
    </row>
    <row r="6" spans="1:39" s="7" customFormat="1" x14ac:dyDescent="0.25">
      <c r="B6" s="7" t="s">
        <v>16</v>
      </c>
      <c r="C6" s="6"/>
      <c r="D6" s="6"/>
      <c r="E6" s="6"/>
      <c r="F6" s="6">
        <v>39.5</v>
      </c>
      <c r="G6" s="6"/>
      <c r="H6" s="6"/>
      <c r="I6" s="6">
        <v>45</v>
      </c>
      <c r="J6" s="6">
        <v>40.5</v>
      </c>
      <c r="K6" s="6"/>
      <c r="L6" s="6"/>
      <c r="M6" s="6"/>
      <c r="N6" s="6"/>
      <c r="O6" s="6">
        <v>526.54700000000003</v>
      </c>
      <c r="P6" s="6"/>
      <c r="Q6" s="6"/>
      <c r="AA6" s="7">
        <v>170</v>
      </c>
      <c r="AB6" s="7">
        <v>1748.877</v>
      </c>
      <c r="AC6" s="7">
        <v>1879.673</v>
      </c>
    </row>
    <row r="7" spans="1:39" s="8" customFormat="1" ht="13" x14ac:dyDescent="0.3">
      <c r="B7" s="8" t="s">
        <v>47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AB7" s="10" t="s">
        <v>48</v>
      </c>
      <c r="AC7" s="10" t="s">
        <v>49</v>
      </c>
    </row>
    <row r="8" spans="1:39" s="8" customFormat="1" ht="13" x14ac:dyDescent="0.3">
      <c r="B8" s="8" t="s">
        <v>50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AB8" s="10" t="s">
        <v>51</v>
      </c>
      <c r="AC8" s="10" t="s">
        <v>51</v>
      </c>
    </row>
    <row r="9" spans="1:39" s="7" customFormat="1" x14ac:dyDescent="0.25">
      <c r="B9" s="7" t="s">
        <v>17</v>
      </c>
      <c r="C9" s="6"/>
      <c r="D9" s="6"/>
      <c r="E9" s="6"/>
      <c r="F9" s="6">
        <f>21.7-F10</f>
        <v>6</v>
      </c>
      <c r="G9" s="6"/>
      <c r="H9" s="6"/>
      <c r="I9" s="6">
        <f>29.3-I10</f>
        <v>7</v>
      </c>
      <c r="J9" s="6">
        <f>30.1-J10</f>
        <v>7.1000000000000014</v>
      </c>
      <c r="K9" s="6"/>
      <c r="L9" s="6"/>
      <c r="M9" s="6"/>
      <c r="N9" s="6"/>
      <c r="O9" s="6">
        <v>817.15599999999995</v>
      </c>
      <c r="P9" s="6"/>
      <c r="Q9" s="6"/>
      <c r="AA9" s="7">
        <f>66.6-AA10</f>
        <v>22.499999999999993</v>
      </c>
      <c r="AB9" s="7">
        <v>1110.6600000000001</v>
      </c>
      <c r="AC9" s="7">
        <v>1301.2819999999999</v>
      </c>
    </row>
    <row r="10" spans="1:39" s="8" customFormat="1" ht="13" x14ac:dyDescent="0.3">
      <c r="B10" s="8" t="s">
        <v>19</v>
      </c>
      <c r="C10" s="9"/>
      <c r="D10" s="9"/>
      <c r="E10" s="9"/>
      <c r="F10" s="9">
        <v>15.7</v>
      </c>
      <c r="G10" s="9"/>
      <c r="H10" s="9"/>
      <c r="I10" s="9">
        <v>22.3</v>
      </c>
      <c r="J10" s="9">
        <v>23</v>
      </c>
      <c r="K10" s="9"/>
      <c r="L10" s="9"/>
      <c r="M10" s="9"/>
      <c r="N10" s="9"/>
      <c r="O10" s="9"/>
      <c r="P10" s="9"/>
      <c r="Q10" s="9"/>
      <c r="AA10" s="8">
        <v>44.1</v>
      </c>
      <c r="AB10" s="10" t="s">
        <v>52</v>
      </c>
      <c r="AC10" s="10" t="s">
        <v>53</v>
      </c>
    </row>
    <row r="11" spans="1:39" s="7" customFormat="1" x14ac:dyDescent="0.25">
      <c r="B11" s="7" t="s">
        <v>18</v>
      </c>
      <c r="C11" s="6"/>
      <c r="D11" s="6"/>
      <c r="E11" s="6"/>
      <c r="F11" s="6">
        <v>9.6999999999999993</v>
      </c>
      <c r="G11" s="6"/>
      <c r="H11" s="6"/>
      <c r="I11" s="6">
        <v>8</v>
      </c>
      <c r="J11" s="6">
        <v>8.1</v>
      </c>
      <c r="K11" s="6"/>
      <c r="L11" s="6"/>
      <c r="M11" s="6"/>
      <c r="N11" s="6"/>
      <c r="O11" s="6">
        <v>66.935000000000002</v>
      </c>
      <c r="P11" s="6"/>
      <c r="Q11" s="6"/>
      <c r="AA11" s="7">
        <v>31</v>
      </c>
      <c r="AB11" s="7">
        <v>291.57799999999997</v>
      </c>
      <c r="AC11" s="7">
        <v>298.41699999999997</v>
      </c>
    </row>
    <row r="12" spans="1:39" s="7" customFormat="1" x14ac:dyDescent="0.25">
      <c r="B12" s="7" t="s">
        <v>20</v>
      </c>
      <c r="C12" s="6"/>
      <c r="D12" s="6"/>
      <c r="E12" s="6"/>
      <c r="F12" s="6">
        <v>3.9</v>
      </c>
      <c r="G12" s="6"/>
      <c r="H12" s="6"/>
      <c r="I12" s="6">
        <v>3.5</v>
      </c>
      <c r="J12" s="6">
        <v>3.9</v>
      </c>
      <c r="K12" s="6"/>
      <c r="L12" s="6"/>
      <c r="M12" s="6"/>
      <c r="N12" s="6"/>
      <c r="O12" s="6">
        <v>38.262999999999998</v>
      </c>
      <c r="P12" s="6"/>
      <c r="Q12" s="6"/>
      <c r="AA12" s="7">
        <v>14.4</v>
      </c>
      <c r="AB12" s="7">
        <v>142.749</v>
      </c>
      <c r="AC12" s="7">
        <v>157.833</v>
      </c>
    </row>
    <row r="13" spans="1:39" s="7" customFormat="1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-110.167</v>
      </c>
      <c r="P13" s="6"/>
      <c r="Q13" s="6"/>
      <c r="AB13" s="7">
        <v>-288.15499999999997</v>
      </c>
      <c r="AC13" s="7">
        <v>-301.14600000000002</v>
      </c>
    </row>
    <row r="14" spans="1:39" s="11" customFormat="1" ht="13" x14ac:dyDescent="0.3">
      <c r="B14" s="11" t="s">
        <v>7</v>
      </c>
      <c r="C14" s="12"/>
      <c r="D14" s="12"/>
      <c r="E14" s="12"/>
      <c r="F14" s="12">
        <v>67.8</v>
      </c>
      <c r="G14" s="12"/>
      <c r="H14" s="12">
        <v>74.068302000000003</v>
      </c>
      <c r="I14" s="12">
        <v>79.099999999999994</v>
      </c>
      <c r="J14" s="12">
        <v>75.8</v>
      </c>
      <c r="K14" s="12">
        <v>79.140502999999995</v>
      </c>
      <c r="L14" s="12">
        <v>74.566316999999998</v>
      </c>
      <c r="M14" s="12">
        <v>86.061746999999997</v>
      </c>
      <c r="N14" s="12">
        <f>+AC14-L14-K14-J14</f>
        <v>104.09911800000002</v>
      </c>
      <c r="O14" s="12">
        <v>133.87344400000001</v>
      </c>
      <c r="P14" s="12">
        <v>171</v>
      </c>
      <c r="Q14" s="12">
        <f>+M14*1.5</f>
        <v>129.09262050000001</v>
      </c>
      <c r="R14" s="12">
        <f>+N14*1.3</f>
        <v>135.32885340000004</v>
      </c>
      <c r="T14" s="11">
        <v>201.86674500000001</v>
      </c>
      <c r="U14" s="11">
        <v>239.57537600000001</v>
      </c>
      <c r="V14" s="11">
        <v>243.77141499999999</v>
      </c>
      <c r="W14" s="11">
        <v>230.400881</v>
      </c>
      <c r="X14" s="11">
        <v>236.80600000000001</v>
      </c>
      <c r="Y14" s="11">
        <v>279.60478999999998</v>
      </c>
      <c r="Z14" s="11">
        <v>302.23136</v>
      </c>
      <c r="AA14" s="11">
        <v>258.89999999999998</v>
      </c>
      <c r="AB14" s="11">
        <v>300.870903</v>
      </c>
      <c r="AC14" s="11">
        <v>333.60593799999998</v>
      </c>
    </row>
    <row r="15" spans="1:39" s="2" customFormat="1" x14ac:dyDescent="0.25">
      <c r="B15" s="2" t="s">
        <v>32</v>
      </c>
      <c r="C15" s="3"/>
      <c r="D15" s="3"/>
      <c r="E15" s="3"/>
      <c r="F15" s="3"/>
      <c r="G15" s="3"/>
      <c r="H15" s="3">
        <v>44.312026000000003</v>
      </c>
      <c r="I15" s="3">
        <v>49.095083000000002</v>
      </c>
      <c r="J15" s="3">
        <v>47.3</v>
      </c>
      <c r="K15" s="3">
        <v>51.009931000000002</v>
      </c>
      <c r="L15" s="3">
        <v>49.069566000000002</v>
      </c>
      <c r="M15" s="3">
        <v>52.56962</v>
      </c>
      <c r="N15" s="15">
        <f>+AC15-L15-K15-J15</f>
        <v>54.856015999999997</v>
      </c>
      <c r="O15" s="3">
        <v>51.960270999999999</v>
      </c>
      <c r="P15" s="3">
        <f>+P14-P16</f>
        <v>59.849999999999994</v>
      </c>
      <c r="Q15" s="3">
        <f t="shared" ref="Q15:R15" si="1">+Q14-Q16</f>
        <v>45.182417174999998</v>
      </c>
      <c r="R15" s="3">
        <f t="shared" si="1"/>
        <v>47.365098690000011</v>
      </c>
      <c r="T15" s="2">
        <v>120.277</v>
      </c>
      <c r="U15" s="2">
        <v>129.29</v>
      </c>
      <c r="V15" s="2">
        <v>132.39439999999999</v>
      </c>
      <c r="W15" s="2">
        <v>147.23954900000001</v>
      </c>
      <c r="X15" s="2">
        <v>144.488</v>
      </c>
      <c r="Y15" s="2">
        <v>166.41134199999999</v>
      </c>
      <c r="Z15" s="2">
        <v>190.041</v>
      </c>
      <c r="AA15" s="2">
        <v>180.38857999999999</v>
      </c>
      <c r="AB15" s="2">
        <v>186.56226799999999</v>
      </c>
      <c r="AC15" s="2">
        <v>202.235513</v>
      </c>
    </row>
    <row r="16" spans="1:39" s="2" customFormat="1" x14ac:dyDescent="0.25">
      <c r="B16" s="2" t="s">
        <v>31</v>
      </c>
      <c r="C16" s="3"/>
      <c r="D16" s="3"/>
      <c r="E16" s="3"/>
      <c r="F16" s="3"/>
      <c r="G16" s="3"/>
      <c r="H16" s="3">
        <f>+H14-H15</f>
        <v>29.756276</v>
      </c>
      <c r="I16" s="3">
        <f>+I14-I15</f>
        <v>30.004916999999992</v>
      </c>
      <c r="J16" s="3">
        <f>+J14-J15</f>
        <v>28.5</v>
      </c>
      <c r="K16" s="3">
        <f>+K14-K15</f>
        <v>28.130571999999994</v>
      </c>
      <c r="L16" s="3">
        <f>+L14-L15</f>
        <v>25.496750999999996</v>
      </c>
      <c r="M16" s="3">
        <f>+M14-M15</f>
        <v>33.492126999999996</v>
      </c>
      <c r="N16" s="3">
        <f>+N14-N15</f>
        <v>49.243102000000022</v>
      </c>
      <c r="O16" s="3">
        <f>+O14-O15</f>
        <v>81.913173</v>
      </c>
      <c r="P16" s="3">
        <f>+P14*0.65</f>
        <v>111.15</v>
      </c>
      <c r="Q16" s="3">
        <f t="shared" ref="Q16:R16" si="2">+Q14*0.65</f>
        <v>83.910203325000012</v>
      </c>
      <c r="R16" s="3">
        <f t="shared" si="2"/>
        <v>87.963754710000032</v>
      </c>
      <c r="T16" s="2">
        <f t="shared" ref="T16:AB16" si="3">+T14-T15</f>
        <v>81.589745000000008</v>
      </c>
      <c r="U16" s="2">
        <f t="shared" si="3"/>
        <v>110.28537600000001</v>
      </c>
      <c r="V16" s="2">
        <f t="shared" si="3"/>
        <v>111.377015</v>
      </c>
      <c r="W16" s="2">
        <f t="shared" si="3"/>
        <v>83.161331999999987</v>
      </c>
      <c r="X16" s="2">
        <f t="shared" si="3"/>
        <v>92.318000000000012</v>
      </c>
      <c r="Y16" s="2">
        <f t="shared" si="3"/>
        <v>113.19344799999999</v>
      </c>
      <c r="Z16" s="2">
        <f t="shared" si="3"/>
        <v>112.19036</v>
      </c>
      <c r="AA16" s="2">
        <f t="shared" si="3"/>
        <v>78.511419999999987</v>
      </c>
      <c r="AB16" s="2">
        <f t="shared" si="3"/>
        <v>114.30863500000001</v>
      </c>
      <c r="AC16" s="2">
        <f>+AC14-AC15</f>
        <v>131.37042499999998</v>
      </c>
    </row>
    <row r="17" spans="2:29" s="2" customFormat="1" x14ac:dyDescent="0.25">
      <c r="B17" s="2" t="s">
        <v>38</v>
      </c>
      <c r="C17" s="3"/>
      <c r="D17" s="3"/>
      <c r="E17" s="3"/>
      <c r="F17" s="3"/>
      <c r="G17" s="3"/>
      <c r="H17" s="3">
        <v>19.312398000000002</v>
      </c>
      <c r="I17" s="3">
        <v>20.820277000000001</v>
      </c>
      <c r="J17" s="3">
        <f>22-J18</f>
        <v>11.7</v>
      </c>
      <c r="K17" s="3">
        <v>21.4453</v>
      </c>
      <c r="L17" s="3">
        <v>20.820694</v>
      </c>
      <c r="M17" s="3">
        <v>21.326065</v>
      </c>
      <c r="N17" s="15">
        <f>+AC17-L17-K17-J17</f>
        <v>33.80337999999999</v>
      </c>
      <c r="O17" s="3">
        <v>24.680375999999999</v>
      </c>
      <c r="P17" s="3">
        <f>+O17</f>
        <v>24.680375999999999</v>
      </c>
      <c r="Q17" s="3">
        <f t="shared" ref="Q17:R17" si="4">+P17</f>
        <v>24.680375999999999</v>
      </c>
      <c r="R17" s="3">
        <f t="shared" si="4"/>
        <v>24.680375999999999</v>
      </c>
      <c r="T17" s="2">
        <v>52.347999999999999</v>
      </c>
      <c r="U17" s="2">
        <v>56.639670000000002</v>
      </c>
      <c r="V17" s="2">
        <v>52.49</v>
      </c>
      <c r="W17" s="2">
        <v>55.392823</v>
      </c>
      <c r="X17" s="2">
        <v>56.323999999999998</v>
      </c>
      <c r="Y17" s="2">
        <v>61.559600000000003</v>
      </c>
      <c r="Z17" s="2">
        <v>68.812960000000004</v>
      </c>
      <c r="AA17" s="2">
        <v>71.979938000000004</v>
      </c>
      <c r="AB17" s="2">
        <v>81.582673999999997</v>
      </c>
      <c r="AC17" s="2">
        <v>87.769373999999999</v>
      </c>
    </row>
    <row r="18" spans="2:29" s="2" customFormat="1" x14ac:dyDescent="0.25">
      <c r="B18" s="2" t="s">
        <v>57</v>
      </c>
      <c r="C18" s="3"/>
      <c r="D18" s="3"/>
      <c r="E18" s="3"/>
      <c r="F18" s="3"/>
      <c r="G18" s="3"/>
      <c r="H18" s="3"/>
      <c r="I18" s="3"/>
      <c r="J18" s="3">
        <v>10.3</v>
      </c>
      <c r="K18" s="3"/>
      <c r="L18" s="3"/>
      <c r="M18" s="3"/>
      <c r="N18" s="3"/>
      <c r="O18" s="3"/>
      <c r="P18" s="3"/>
      <c r="Q18" s="3"/>
    </row>
    <row r="19" spans="2:29" s="2" customFormat="1" x14ac:dyDescent="0.25">
      <c r="B19" s="2" t="s">
        <v>33</v>
      </c>
      <c r="C19" s="3"/>
      <c r="D19" s="3"/>
      <c r="E19" s="3"/>
      <c r="F19" s="3"/>
      <c r="G19" s="3"/>
      <c r="H19" s="3">
        <f t="shared" ref="H19" si="5">+H18+H17</f>
        <v>19.312398000000002</v>
      </c>
      <c r="I19" s="3">
        <f t="shared" ref="I19" si="6">+I18+I17</f>
        <v>20.820277000000001</v>
      </c>
      <c r="J19" s="3">
        <f t="shared" ref="J19:N19" si="7">+J18+J17</f>
        <v>22</v>
      </c>
      <c r="K19" s="3">
        <f t="shared" si="7"/>
        <v>21.4453</v>
      </c>
      <c r="L19" s="3">
        <f t="shared" si="7"/>
        <v>20.820694</v>
      </c>
      <c r="M19" s="3">
        <f t="shared" si="7"/>
        <v>21.326065</v>
      </c>
      <c r="N19" s="3">
        <f t="shared" si="7"/>
        <v>33.80337999999999</v>
      </c>
      <c r="O19" s="3">
        <f>+O18+O17</f>
        <v>24.680375999999999</v>
      </c>
      <c r="P19" s="3">
        <f>+P18+P17</f>
        <v>24.680375999999999</v>
      </c>
      <c r="Q19" s="3">
        <f t="shared" ref="Q19:R19" si="8">+Q18+Q17</f>
        <v>24.680375999999999</v>
      </c>
      <c r="R19" s="3">
        <f t="shared" si="8"/>
        <v>24.680375999999999</v>
      </c>
      <c r="T19" s="2">
        <f t="shared" ref="T19:AC19" si="9">+T17+T18</f>
        <v>52.347999999999999</v>
      </c>
      <c r="U19" s="2">
        <f t="shared" si="9"/>
        <v>56.639670000000002</v>
      </c>
      <c r="V19" s="2">
        <f t="shared" si="9"/>
        <v>52.49</v>
      </c>
      <c r="W19" s="2">
        <f t="shared" si="9"/>
        <v>55.392823</v>
      </c>
      <c r="X19" s="2">
        <f t="shared" si="9"/>
        <v>56.323999999999998</v>
      </c>
      <c r="Y19" s="2">
        <f t="shared" si="9"/>
        <v>61.559600000000003</v>
      </c>
      <c r="Z19" s="2">
        <f t="shared" si="9"/>
        <v>68.812960000000004</v>
      </c>
      <c r="AA19" s="2">
        <f t="shared" si="9"/>
        <v>71.979938000000004</v>
      </c>
      <c r="AB19" s="2">
        <f t="shared" si="9"/>
        <v>81.582673999999997</v>
      </c>
      <c r="AC19" s="2">
        <f t="shared" si="9"/>
        <v>87.769373999999999</v>
      </c>
    </row>
    <row r="20" spans="2:29" s="2" customFormat="1" x14ac:dyDescent="0.25">
      <c r="B20" s="2" t="s">
        <v>34</v>
      </c>
      <c r="C20" s="3"/>
      <c r="D20" s="3"/>
      <c r="E20" s="3"/>
      <c r="F20" s="3"/>
      <c r="G20" s="3"/>
      <c r="H20" s="3">
        <f t="shared" ref="H20:I20" si="10">+H16-H19</f>
        <v>10.443877999999998</v>
      </c>
      <c r="I20" s="3">
        <f t="shared" si="10"/>
        <v>9.184639999999991</v>
      </c>
      <c r="J20" s="3">
        <f>+J16-J19</f>
        <v>6.5</v>
      </c>
      <c r="K20" s="3">
        <f t="shared" ref="K20:P20" si="11">+K16-K19</f>
        <v>6.6852719999999941</v>
      </c>
      <c r="L20" s="3">
        <f t="shared" si="11"/>
        <v>4.6760569999999966</v>
      </c>
      <c r="M20" s="3">
        <f t="shared" si="11"/>
        <v>12.166061999999997</v>
      </c>
      <c r="N20" s="3">
        <f t="shared" si="11"/>
        <v>15.439722000000032</v>
      </c>
      <c r="O20" s="3">
        <f t="shared" si="11"/>
        <v>57.232797000000005</v>
      </c>
      <c r="P20" s="3">
        <f t="shared" si="11"/>
        <v>86.46962400000001</v>
      </c>
      <c r="Q20" s="3">
        <f t="shared" ref="Q20" si="12">+Q16-Q19</f>
        <v>59.229827325000016</v>
      </c>
      <c r="R20" s="3">
        <f t="shared" ref="R20" si="13">+R16-R19</f>
        <v>63.283378710000036</v>
      </c>
      <c r="T20" s="2">
        <f t="shared" ref="T20:AC20" si="14">+T16-T19</f>
        <v>29.241745000000009</v>
      </c>
      <c r="U20" s="2">
        <f t="shared" si="14"/>
        <v>53.645706000000011</v>
      </c>
      <c r="V20" s="2">
        <f t="shared" si="14"/>
        <v>58.887014999999998</v>
      </c>
      <c r="W20" s="2">
        <f t="shared" si="14"/>
        <v>27.768508999999987</v>
      </c>
      <c r="X20" s="2">
        <f t="shared" si="14"/>
        <v>35.994000000000014</v>
      </c>
      <c r="Y20" s="2">
        <f t="shared" si="14"/>
        <v>51.633847999999986</v>
      </c>
      <c r="Z20" s="2">
        <f t="shared" si="14"/>
        <v>43.377399999999994</v>
      </c>
      <c r="AA20" s="2">
        <f t="shared" si="14"/>
        <v>6.5314819999999827</v>
      </c>
      <c r="AB20" s="2">
        <f t="shared" si="14"/>
        <v>32.725961000000012</v>
      </c>
      <c r="AC20" s="2">
        <f t="shared" si="14"/>
        <v>43.601050999999984</v>
      </c>
    </row>
    <row r="21" spans="2:29" s="2" customFormat="1" x14ac:dyDescent="0.25">
      <c r="B21" s="2" t="s">
        <v>56</v>
      </c>
      <c r="C21" s="3"/>
      <c r="D21" s="3"/>
      <c r="E21" s="3"/>
      <c r="F21" s="3"/>
      <c r="G21" s="3"/>
      <c r="H21" s="3">
        <f>0.318501-0.245496+0.198514+3.616184-2.736237</f>
        <v>1.1514660000000001</v>
      </c>
      <c r="I21" s="3">
        <f>0.712914-0.553052+0.183411+3.61751-2.823742</f>
        <v>1.1370409999999995</v>
      </c>
      <c r="J21" s="3">
        <v>1.2</v>
      </c>
      <c r="K21" s="3">
        <f>1.106305-0.241413+0.118853+3.970884-2.488325</f>
        <v>2.4663039999999996</v>
      </c>
      <c r="L21" s="3">
        <f>0.30275-0.283194+0.159018+4.345852-3.444354</f>
        <v>1.0800719999999999</v>
      </c>
      <c r="M21" s="3">
        <f>0.243439-0.33888+0.280488+2.903929-1.709475</f>
        <v>1.3795010000000001</v>
      </c>
      <c r="N21" s="15">
        <f>+AC21-L21-K21-J21</f>
        <v>1.1340440000000018</v>
      </c>
      <c r="O21" s="3">
        <f>0.475638-0.389482+0.244758+6.122965-4.858242</f>
        <v>1.595637</v>
      </c>
      <c r="P21" s="3">
        <v>1.5</v>
      </c>
      <c r="Q21" s="3">
        <v>1.5</v>
      </c>
      <c r="R21" s="3">
        <v>1.5</v>
      </c>
      <c r="AB21" s="2">
        <f>1.960338-1.625229+0.751044+16.703304-12.985684</f>
        <v>4.8037729999999996</v>
      </c>
      <c r="AC21" s="2">
        <f>2.267083-1.575901+0.6827+16.240302-11.733764</f>
        <v>5.8804200000000009</v>
      </c>
    </row>
    <row r="22" spans="2:29" s="2" customFormat="1" x14ac:dyDescent="0.25">
      <c r="B22" s="2" t="s">
        <v>35</v>
      </c>
      <c r="C22" s="3"/>
      <c r="D22" s="3"/>
      <c r="E22" s="3"/>
      <c r="F22" s="3"/>
      <c r="G22" s="3"/>
      <c r="H22" s="3">
        <f t="shared" ref="H22:I22" si="15">+H20+H21</f>
        <v>11.595343999999997</v>
      </c>
      <c r="I22" s="3">
        <f t="shared" si="15"/>
        <v>10.321680999999991</v>
      </c>
      <c r="J22" s="3">
        <f>+J20+J21</f>
        <v>7.7</v>
      </c>
      <c r="K22" s="3">
        <f t="shared" ref="K22:P22" si="16">+K20+K21</f>
        <v>9.1515759999999933</v>
      </c>
      <c r="L22" s="3">
        <f t="shared" si="16"/>
        <v>5.7561289999999961</v>
      </c>
      <c r="M22" s="3">
        <f t="shared" si="16"/>
        <v>13.545562999999996</v>
      </c>
      <c r="N22" s="3">
        <f t="shared" si="16"/>
        <v>16.573766000000035</v>
      </c>
      <c r="O22" s="3">
        <f t="shared" si="16"/>
        <v>58.828434000000001</v>
      </c>
      <c r="P22" s="3">
        <f t="shared" si="16"/>
        <v>87.96962400000001</v>
      </c>
      <c r="Q22" s="3">
        <f t="shared" ref="Q22" si="17">+Q20+Q21</f>
        <v>60.729827325000016</v>
      </c>
      <c r="R22" s="3">
        <f t="shared" ref="R22" si="18">+R20+R21</f>
        <v>64.783378710000036</v>
      </c>
      <c r="S22" s="3"/>
      <c r="T22" s="3">
        <f t="shared" ref="T22:AC22" si="19">+T20+T21</f>
        <v>29.241745000000009</v>
      </c>
      <c r="U22" s="3">
        <f t="shared" si="19"/>
        <v>53.645706000000011</v>
      </c>
      <c r="V22" s="3">
        <f t="shared" si="19"/>
        <v>58.887014999999998</v>
      </c>
      <c r="W22" s="3">
        <f t="shared" si="19"/>
        <v>27.768508999999987</v>
      </c>
      <c r="X22" s="3">
        <f t="shared" si="19"/>
        <v>35.994000000000014</v>
      </c>
      <c r="Y22" s="3">
        <f t="shared" si="19"/>
        <v>51.633847999999986</v>
      </c>
      <c r="Z22" s="3">
        <f t="shared" si="19"/>
        <v>43.377399999999994</v>
      </c>
      <c r="AA22" s="3">
        <f t="shared" si="19"/>
        <v>6.5314819999999827</v>
      </c>
      <c r="AB22" s="3">
        <f t="shared" si="19"/>
        <v>37.529734000000012</v>
      </c>
      <c r="AC22" s="3">
        <f t="shared" si="19"/>
        <v>49.481470999999985</v>
      </c>
    </row>
    <row r="23" spans="2:29" s="2" customFormat="1" x14ac:dyDescent="0.25">
      <c r="B23" s="2" t="s">
        <v>36</v>
      </c>
      <c r="C23" s="3"/>
      <c r="D23" s="3"/>
      <c r="E23" s="3"/>
      <c r="F23" s="3"/>
      <c r="G23" s="3"/>
      <c r="H23" s="3">
        <v>1.7539990000000001</v>
      </c>
      <c r="I23" s="3">
        <v>0.21950800000000001</v>
      </c>
      <c r="J23" s="3">
        <v>0.2</v>
      </c>
      <c r="K23" s="3">
        <v>0.92869800000000002</v>
      </c>
      <c r="L23" s="3">
        <v>0.63969399999999998</v>
      </c>
      <c r="M23" s="3">
        <v>1.3198160000000001</v>
      </c>
      <c r="N23" s="15">
        <f>+AC23-L23-K23-J23</f>
        <v>2.5062739999999994</v>
      </c>
      <c r="O23" s="3">
        <v>11.603161999999999</v>
      </c>
      <c r="P23" s="3">
        <v>10</v>
      </c>
      <c r="Q23" s="3">
        <v>10</v>
      </c>
      <c r="R23" s="3">
        <v>10</v>
      </c>
      <c r="S23" s="3"/>
      <c r="T23" s="2">
        <v>7.9875600000000002</v>
      </c>
      <c r="U23" s="2">
        <v>14.009</v>
      </c>
      <c r="V23" s="2">
        <v>16.815100000000001</v>
      </c>
      <c r="W23" s="2">
        <v>8.6933240000000005</v>
      </c>
      <c r="X23" s="2">
        <v>9.9372849999999993</v>
      </c>
      <c r="Y23" s="2">
        <v>13.444376999999999</v>
      </c>
      <c r="AB23" s="2">
        <v>3.0783830000000001</v>
      </c>
      <c r="AC23" s="2">
        <v>4.2746659999999999</v>
      </c>
    </row>
    <row r="24" spans="2:29" s="2" customFormat="1" x14ac:dyDescent="0.25">
      <c r="B24" s="2" t="s">
        <v>37</v>
      </c>
      <c r="C24" s="3"/>
      <c r="D24" s="3"/>
      <c r="E24" s="3"/>
      <c r="F24" s="3"/>
      <c r="G24" s="3"/>
      <c r="H24" s="3">
        <f t="shared" ref="H24:I24" si="20">+H22-H23</f>
        <v>9.8413449999999969</v>
      </c>
      <c r="I24" s="3">
        <f t="shared" si="20"/>
        <v>10.102172999999992</v>
      </c>
      <c r="J24" s="3">
        <f>+J22-J23</f>
        <v>7.5</v>
      </c>
      <c r="K24" s="3">
        <f t="shared" ref="K24:P24" si="21">+K22-K23</f>
        <v>8.2228779999999926</v>
      </c>
      <c r="L24" s="3">
        <f t="shared" si="21"/>
        <v>5.1164349999999956</v>
      </c>
      <c r="M24" s="3">
        <f t="shared" si="21"/>
        <v>12.225746999999997</v>
      </c>
      <c r="N24" s="3">
        <f t="shared" si="21"/>
        <v>14.067492000000035</v>
      </c>
      <c r="O24" s="3">
        <f t="shared" si="21"/>
        <v>47.225272000000004</v>
      </c>
      <c r="P24" s="3">
        <f t="shared" si="21"/>
        <v>77.96962400000001</v>
      </c>
      <c r="Q24" s="3">
        <f t="shared" ref="Q24" si="22">+Q22-Q23</f>
        <v>50.729827325000016</v>
      </c>
      <c r="R24" s="3">
        <f t="shared" ref="R24" si="23">+R22-R23</f>
        <v>54.783378710000036</v>
      </c>
      <c r="S24" s="3"/>
      <c r="T24" s="3">
        <f t="shared" ref="T24:AC24" si="24">+T22-T23</f>
        <v>21.254185000000007</v>
      </c>
      <c r="U24" s="3">
        <f t="shared" si="24"/>
        <v>39.636706000000011</v>
      </c>
      <c r="V24" s="3">
        <f t="shared" si="24"/>
        <v>42.071914999999997</v>
      </c>
      <c r="W24" s="3">
        <f t="shared" si="24"/>
        <v>19.075184999999987</v>
      </c>
      <c r="X24" s="3">
        <f t="shared" si="24"/>
        <v>26.056715000000015</v>
      </c>
      <c r="Y24" s="3">
        <f t="shared" si="24"/>
        <v>38.189470999999983</v>
      </c>
      <c r="Z24" s="3">
        <f t="shared" si="24"/>
        <v>43.377399999999994</v>
      </c>
      <c r="AA24" s="3">
        <f t="shared" si="24"/>
        <v>6.5314819999999827</v>
      </c>
      <c r="AB24" s="3">
        <f t="shared" si="24"/>
        <v>34.45135100000001</v>
      </c>
      <c r="AC24" s="3">
        <f t="shared" si="24"/>
        <v>45.206804999999989</v>
      </c>
    </row>
    <row r="26" spans="2:29" x14ac:dyDescent="0.25">
      <c r="B26" s="2" t="s">
        <v>54</v>
      </c>
      <c r="L26" s="13">
        <f t="shared" ref="L26:O26" si="25">+L14/H14-1</f>
        <v>6.723726432934729E-3</v>
      </c>
      <c r="M26" s="13">
        <f t="shared" si="25"/>
        <v>8.8011972187104881E-2</v>
      </c>
      <c r="N26" s="13">
        <f t="shared" si="25"/>
        <v>0.37333928759894497</v>
      </c>
      <c r="O26" s="13">
        <f t="shared" si="25"/>
        <v>0.69159202842064338</v>
      </c>
      <c r="P26" s="13">
        <f>+P14/L14-1</f>
        <v>1.2932606420671147</v>
      </c>
      <c r="Q26" s="13">
        <f t="shared" ref="Q26:R26" si="26">+Q14/M14-1</f>
        <v>0.50000000000000022</v>
      </c>
      <c r="R26" s="13">
        <f t="shared" si="26"/>
        <v>0.30000000000000027</v>
      </c>
      <c r="U26" s="14">
        <f t="shared" ref="U26:AC26" si="27">+U14/T14-1</f>
        <v>0.18679961872868156</v>
      </c>
      <c r="V26" s="14">
        <f t="shared" si="27"/>
        <v>1.7514483625395538E-2</v>
      </c>
      <c r="W26" s="14">
        <f t="shared" si="27"/>
        <v>-5.4848654014663656E-2</v>
      </c>
      <c r="X26" s="14">
        <f t="shared" si="27"/>
        <v>2.7799889358929963E-2</v>
      </c>
      <c r="Y26" s="14">
        <f t="shared" si="27"/>
        <v>0.18073355404846136</v>
      </c>
      <c r="Z26" s="14">
        <f t="shared" si="27"/>
        <v>8.0923399059079193E-2</v>
      </c>
      <c r="AA26" s="14">
        <f t="shared" si="27"/>
        <v>-0.14337148865028437</v>
      </c>
      <c r="AB26" s="14">
        <f t="shared" si="27"/>
        <v>0.1621124101969873</v>
      </c>
      <c r="AC26" s="14">
        <f>+AC14/AB14-1</f>
        <v>0.1088009331364288</v>
      </c>
    </row>
    <row r="27" spans="2:29" x14ac:dyDescent="0.25">
      <c r="B27" s="2" t="s">
        <v>55</v>
      </c>
      <c r="H27" s="13">
        <f t="shared" ref="H27:K27" si="28">+H16/H14</f>
        <v>0.40174103086634816</v>
      </c>
      <c r="I27" s="13">
        <f t="shared" si="28"/>
        <v>0.37932891276864722</v>
      </c>
      <c r="J27" s="13">
        <f t="shared" si="28"/>
        <v>0.37598944591029027</v>
      </c>
      <c r="K27" s="13">
        <f>+K16/K14</f>
        <v>0.35545101349684366</v>
      </c>
      <c r="L27" s="13">
        <f t="shared" ref="L27:P27" si="29">+L16/L14</f>
        <v>0.34193389221570375</v>
      </c>
      <c r="M27" s="13">
        <f t="shared" si="29"/>
        <v>0.38916392203844058</v>
      </c>
      <c r="N27" s="13">
        <f t="shared" si="29"/>
        <v>0.47304053046827943</v>
      </c>
      <c r="O27" s="13">
        <f t="shared" si="29"/>
        <v>0.61187021527585406</v>
      </c>
      <c r="P27" s="13">
        <f t="shared" si="29"/>
        <v>0.65</v>
      </c>
      <c r="Q27" s="13">
        <f t="shared" ref="Q27:R27" si="30">+Q16/Q14</f>
        <v>0.65</v>
      </c>
      <c r="R27" s="13">
        <f t="shared" si="30"/>
        <v>0.65</v>
      </c>
      <c r="T27" s="13">
        <f t="shared" ref="T27:AC27" si="31">+T16/T14</f>
        <v>0.40417625498444532</v>
      </c>
      <c r="U27" s="13">
        <f t="shared" si="31"/>
        <v>0.46033685865946428</v>
      </c>
      <c r="V27" s="13">
        <f t="shared" si="31"/>
        <v>0.45689120276879058</v>
      </c>
      <c r="W27" s="13">
        <f t="shared" si="31"/>
        <v>0.36094190108587298</v>
      </c>
      <c r="X27" s="13">
        <f t="shared" si="31"/>
        <v>0.38984654105048017</v>
      </c>
      <c r="Y27" s="13">
        <f t="shared" si="31"/>
        <v>0.40483372262685485</v>
      </c>
      <c r="Z27" s="13">
        <f t="shared" si="31"/>
        <v>0.37120687939199953</v>
      </c>
      <c r="AA27" s="13">
        <f t="shared" si="31"/>
        <v>0.30324998068752412</v>
      </c>
      <c r="AB27" s="13">
        <f t="shared" si="31"/>
        <v>0.37992585477765528</v>
      </c>
      <c r="AC27" s="13">
        <f t="shared" si="31"/>
        <v>0.39378922865575611</v>
      </c>
    </row>
    <row r="30" spans="2:29" s="7" customFormat="1" x14ac:dyDescent="0.25">
      <c r="B30" s="7" t="s">
        <v>29</v>
      </c>
      <c r="C30" s="6"/>
      <c r="D30" s="6"/>
      <c r="E30" s="6"/>
      <c r="F30" s="6"/>
      <c r="G30" s="6"/>
      <c r="H30" s="6"/>
      <c r="I30" s="6"/>
      <c r="J30" s="6">
        <v>22020</v>
      </c>
      <c r="K30" s="6"/>
      <c r="L30" s="6"/>
      <c r="M30" s="6"/>
      <c r="N30" s="6"/>
      <c r="O30" s="6"/>
      <c r="P30" s="6"/>
      <c r="Q30" s="6"/>
      <c r="T30" s="7">
        <v>47385.644</v>
      </c>
      <c r="U30" s="7">
        <v>62162.040999999997</v>
      </c>
      <c r="V30" s="7">
        <v>67031.862999999998</v>
      </c>
      <c r="W30" s="7">
        <v>45382.915000000001</v>
      </c>
      <c r="X30" s="7">
        <v>65287.008999999998</v>
      </c>
      <c r="Y30" s="7">
        <v>65105.447999999997</v>
      </c>
      <c r="Z30" s="7">
        <v>62181.345999999998</v>
      </c>
      <c r="AA30" s="7">
        <v>44130</v>
      </c>
      <c r="AB30" s="7">
        <v>72980</v>
      </c>
    </row>
    <row r="31" spans="2:29" s="7" customFormat="1" x14ac:dyDescent="0.25">
      <c r="B31" s="7" t="s">
        <v>30</v>
      </c>
      <c r="C31" s="6"/>
      <c r="D31" s="6"/>
      <c r="E31" s="6"/>
      <c r="F31" s="6"/>
      <c r="G31" s="6"/>
      <c r="H31" s="6"/>
      <c r="I31" s="6"/>
      <c r="J31" s="6">
        <v>15090</v>
      </c>
      <c r="K31" s="6"/>
      <c r="L31" s="6"/>
      <c r="M31" s="6"/>
      <c r="N31" s="6"/>
      <c r="O31" s="6"/>
      <c r="P31" s="6"/>
      <c r="Q31" s="6"/>
      <c r="T31" s="7">
        <v>24142.973000000002</v>
      </c>
      <c r="U31" s="7">
        <v>42792.233999999997</v>
      </c>
      <c r="V31" s="7">
        <v>29556.405999999999</v>
      </c>
      <c r="W31" s="7">
        <v>25367.756000000001</v>
      </c>
      <c r="X31" s="7">
        <v>37592.034</v>
      </c>
      <c r="Y31" s="7">
        <v>47122.106</v>
      </c>
      <c r="Z31" s="7">
        <v>49430.428</v>
      </c>
      <c r="AA31" s="7">
        <v>57610</v>
      </c>
      <c r="AB31" s="7">
        <v>51410</v>
      </c>
    </row>
    <row r="32" spans="2:29" s="7" customFormat="1" x14ac:dyDescent="0.25">
      <c r="B32" s="7" t="s">
        <v>29</v>
      </c>
      <c r="C32" s="6"/>
      <c r="D32" s="6"/>
      <c r="E32" s="6"/>
      <c r="F32" s="6"/>
      <c r="G32" s="6"/>
      <c r="H32" s="6"/>
      <c r="I32" s="6"/>
      <c r="J32" s="7">
        <f>+J30-J31</f>
        <v>6930</v>
      </c>
      <c r="T32" s="7">
        <f t="shared" ref="T32:AB32" si="32">+T30-T31</f>
        <v>23242.670999999998</v>
      </c>
      <c r="U32" s="7">
        <f t="shared" si="32"/>
        <v>19369.807000000001</v>
      </c>
      <c r="V32" s="7">
        <f t="shared" si="32"/>
        <v>37475.456999999995</v>
      </c>
      <c r="W32" s="7">
        <f t="shared" si="32"/>
        <v>20015.159</v>
      </c>
      <c r="X32" s="7">
        <f t="shared" si="32"/>
        <v>27694.974999999999</v>
      </c>
      <c r="Y32" s="7">
        <f t="shared" si="32"/>
        <v>17983.341999999997</v>
      </c>
      <c r="Z32" s="7">
        <f t="shared" si="32"/>
        <v>12750.917999999998</v>
      </c>
      <c r="AA32" s="7">
        <f t="shared" si="32"/>
        <v>-13480</v>
      </c>
      <c r="AB32" s="7">
        <f t="shared" si="32"/>
        <v>21570</v>
      </c>
    </row>
  </sheetData>
  <hyperlinks>
    <hyperlink ref="A1" location="Main!A1" display="Main" xr:uid="{4BBFEE7C-0A2B-4AE9-B908-0CFC30E63FA5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2025-03-17T18:24:46Z</dcterms:created>
  <dcterms:modified xsi:type="dcterms:W3CDTF">2026-07-11T22:24:40Z</dcterms:modified>
</cp:coreProperties>
</file>