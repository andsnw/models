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DC58B8D-F708-43AC-B59B-7659F78C8BF7}" xr6:coauthVersionLast="47" xr6:coauthVersionMax="47" xr10:uidLastSave="{00000000-0000-0000-0000-000000000000}"/>
  <bookViews>
    <workbookView xWindow="10210" yWindow="1990" windowWidth="22360" windowHeight="16580" activeTab="1" xr2:uid="{EA2824C1-1697-4288-88B1-60A32E5E15B0}"/>
  </bookViews>
  <sheets>
    <sheet name="Main" sheetId="3" r:id="rId1"/>
    <sheet name="Model" sheetId="1" r:id="rId2"/>
    <sheet name="Q424 Quarterly Earnings Preview" sheetId="5" r:id="rId3"/>
    <sheet name="Q1 Quarterly Earnings Previe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46" i="1" l="1"/>
  <c r="BY47" i="1" s="1"/>
  <c r="BR24" i="1"/>
  <c r="BQ24" i="1"/>
  <c r="AF31" i="1"/>
  <c r="AE31" i="1"/>
  <c r="AF36" i="1"/>
  <c r="AE36" i="1"/>
  <c r="AF32" i="1"/>
  <c r="AF33" i="1" s="1"/>
  <c r="AF34" i="1" s="1"/>
  <c r="AF35" i="1" s="1"/>
  <c r="AE32" i="1"/>
  <c r="AE33" i="1" s="1"/>
  <c r="AE34" i="1" s="1"/>
  <c r="AE35" i="1" s="1"/>
  <c r="AF30" i="1"/>
  <c r="AF29" i="1"/>
  <c r="AF28" i="1"/>
  <c r="AF27" i="1"/>
  <c r="AF26" i="1"/>
  <c r="AE30" i="1"/>
  <c r="AE29" i="1"/>
  <c r="AE26" i="1"/>
  <c r="BQ140" i="1"/>
  <c r="BQ139" i="1"/>
  <c r="BQ138" i="1"/>
  <c r="BQ137" i="1"/>
  <c r="BQ136" i="1"/>
  <c r="BQ134" i="1"/>
  <c r="BQ135" i="1"/>
  <c r="BP140" i="1"/>
  <c r="BO140" i="1"/>
  <c r="BP139" i="1"/>
  <c r="BO139" i="1"/>
  <c r="BP138" i="1"/>
  <c r="BO138" i="1"/>
  <c r="BP137" i="1"/>
  <c r="BO137" i="1"/>
  <c r="BP136" i="1"/>
  <c r="BO136" i="1"/>
  <c r="BP135" i="1"/>
  <c r="BO135" i="1"/>
  <c r="BO134" i="1"/>
  <c r="BP134" i="1"/>
  <c r="AD85" i="1"/>
  <c r="AD86" i="1" s="1"/>
  <c r="AD77" i="1"/>
  <c r="AD75" i="1"/>
  <c r="AD72" i="1"/>
  <c r="AD26" i="1"/>
  <c r="AD31" i="1"/>
  <c r="AC89" i="1"/>
  <c r="AC85" i="1"/>
  <c r="AC83" i="1"/>
  <c r="AC82" i="1"/>
  <c r="AC81" i="1"/>
  <c r="AC80" i="1"/>
  <c r="AC90" i="1"/>
  <c r="AC86" i="1"/>
  <c r="AC87" i="1" s="1"/>
  <c r="AC76" i="1"/>
  <c r="AC77" i="1"/>
  <c r="AC75" i="1"/>
  <c r="AC78" i="1"/>
  <c r="AD73" i="1"/>
  <c r="AC69" i="1"/>
  <c r="AC70" i="1"/>
  <c r="AC71" i="1"/>
  <c r="AC73" i="1" s="1"/>
  <c r="AC72" i="1"/>
  <c r="AC68" i="1"/>
  <c r="AC67" i="1"/>
  <c r="AC64" i="1"/>
  <c r="AC65" i="1"/>
  <c r="AD58" i="1"/>
  <c r="AD45" i="1"/>
  <c r="AD51" i="1"/>
  <c r="AC58" i="1"/>
  <c r="AC51" i="1"/>
  <c r="AD62" i="1"/>
  <c r="AC62" i="1"/>
  <c r="AD54" i="1"/>
  <c r="AC54" i="1"/>
  <c r="AC45" i="1"/>
  <c r="AD93" i="1"/>
  <c r="AC93" i="1"/>
  <c r="AD44" i="1"/>
  <c r="AC44" i="1"/>
  <c r="AD129" i="1"/>
  <c r="AD145" i="1"/>
  <c r="AD131" i="1"/>
  <c r="AD140" i="1"/>
  <c r="AE131" i="1"/>
  <c r="AD39" i="1"/>
  <c r="AH38" i="1"/>
  <c r="AG38" i="1"/>
  <c r="AF38" i="1"/>
  <c r="AE38" i="1"/>
  <c r="AC31" i="1"/>
  <c r="AC30" i="1"/>
  <c r="AC29" i="1"/>
  <c r="AC26" i="1"/>
  <c r="AH2" i="1"/>
  <c r="AG2" i="1"/>
  <c r="AF2" i="1"/>
  <c r="AE2" i="1"/>
  <c r="AC137" i="1"/>
  <c r="AD78" i="1" l="1"/>
  <c r="AD89" i="1"/>
  <c r="AD90" i="1" s="1"/>
  <c r="AD87" i="1"/>
  <c r="AD19" i="1"/>
  <c r="AD18" i="1"/>
  <c r="AD17" i="1"/>
  <c r="AD23" i="1"/>
  <c r="AT38" i="1"/>
  <c r="AS38" i="1"/>
  <c r="AR38" i="1"/>
  <c r="AQ38" i="1"/>
  <c r="AP38" i="1"/>
  <c r="AO38" i="1"/>
  <c r="AN38" i="1"/>
  <c r="AP41" i="1"/>
  <c r="AO41" i="1"/>
  <c r="AN41" i="1"/>
  <c r="AM41" i="1"/>
  <c r="AA31" i="1"/>
  <c r="AB81" i="1"/>
  <c r="AB82" i="1"/>
  <c r="AB80" i="1"/>
  <c r="AB85" i="1"/>
  <c r="AB83" i="1"/>
  <c r="AB77" i="1"/>
  <c r="AB76" i="1"/>
  <c r="AB71" i="1"/>
  <c r="AB70" i="1"/>
  <c r="AB69" i="1"/>
  <c r="AB68" i="1"/>
  <c r="AB67" i="1"/>
  <c r="AB65" i="1"/>
  <c r="AB62" i="1"/>
  <c r="AB51" i="1"/>
  <c r="AB45" i="1"/>
  <c r="AB44" i="1" s="1"/>
  <c r="AB31" i="1"/>
  <c r="AB130" i="1"/>
  <c r="AB24" i="1"/>
  <c r="W137" i="1"/>
  <c r="X137" i="1" s="1"/>
  <c r="AD137" i="1"/>
  <c r="Y132" i="1"/>
  <c r="Z132" i="1" s="1"/>
  <c r="AA132" i="1" s="1"/>
  <c r="AB132" i="1" s="1"/>
  <c r="AC132" i="1" s="1"/>
  <c r="AD132" i="1" s="1"/>
  <c r="AA22" i="1"/>
  <c r="AA130" i="1" s="1"/>
  <c r="AB93" i="1" l="1"/>
  <c r="AB86" i="1"/>
  <c r="AB54" i="1"/>
  <c r="AB129" i="1"/>
  <c r="AB26" i="1"/>
  <c r="AA24" i="1"/>
  <c r="Y138" i="1"/>
  <c r="Z138" i="1" s="1"/>
  <c r="AA26" i="1" l="1"/>
  <c r="BR26" i="1" l="1"/>
  <c r="BR25" i="1" s="1"/>
  <c r="BS24" i="1"/>
  <c r="BR38" i="1"/>
  <c r="AA75" i="1" l="1"/>
  <c r="AB75" i="1" s="1"/>
  <c r="AB78" i="1" s="1"/>
  <c r="AA86" i="1"/>
  <c r="AA72" i="1"/>
  <c r="AA62" i="1"/>
  <c r="AA51" i="1"/>
  <c r="AA45" i="1"/>
  <c r="AA54" i="1" s="1"/>
  <c r="AA2" i="1"/>
  <c r="AQ29" i="1"/>
  <c r="AQ26" i="1"/>
  <c r="AQ41" i="1" s="1"/>
  <c r="AR29" i="1"/>
  <c r="AR26" i="1"/>
  <c r="AR41" i="1" s="1"/>
  <c r="AS29" i="1"/>
  <c r="AS26" i="1"/>
  <c r="AS41" i="1" s="1"/>
  <c r="AU38" i="1"/>
  <c r="AV26" i="1"/>
  <c r="AV41" i="1" s="1"/>
  <c r="AU26" i="1"/>
  <c r="AU41" i="1" s="1"/>
  <c r="AT26" i="1"/>
  <c r="AT41" i="1" s="1"/>
  <c r="AT29" i="1"/>
  <c r="AV38" i="1"/>
  <c r="AW26" i="1"/>
  <c r="AW41" i="1" s="1"/>
  <c r="AU29" i="1"/>
  <c r="BA26" i="1"/>
  <c r="BA41" i="1" s="1"/>
  <c r="AY26" i="1"/>
  <c r="AY41" i="1" s="1"/>
  <c r="AX26" i="1"/>
  <c r="AX41" i="1" s="1"/>
  <c r="AZ31" i="1"/>
  <c r="BA29" i="1"/>
  <c r="AZ29" i="1"/>
  <c r="AY29" i="1"/>
  <c r="AX29" i="1"/>
  <c r="AW29" i="1"/>
  <c r="AV29" i="1"/>
  <c r="AZ26" i="1"/>
  <c r="AZ41" i="1" s="1"/>
  <c r="BB38" i="1"/>
  <c r="BA38" i="1"/>
  <c r="AZ38" i="1"/>
  <c r="AY38" i="1"/>
  <c r="AX38" i="1"/>
  <c r="AW38" i="1"/>
  <c r="BL61" i="1"/>
  <c r="BL60" i="1"/>
  <c r="BL59" i="1"/>
  <c r="BL57" i="1"/>
  <c r="BL56" i="1"/>
  <c r="BL53" i="1"/>
  <c r="BL52" i="1"/>
  <c r="BL50" i="1"/>
  <c r="BL49" i="1"/>
  <c r="BL48" i="1"/>
  <c r="BL47" i="1"/>
  <c r="BL46" i="1"/>
  <c r="BM61" i="1"/>
  <c r="BM60" i="1"/>
  <c r="BM59" i="1"/>
  <c r="BM58" i="1"/>
  <c r="BM57" i="1"/>
  <c r="BM56" i="1"/>
  <c r="BM53" i="1"/>
  <c r="BM52" i="1"/>
  <c r="BM50" i="1"/>
  <c r="BM49" i="1"/>
  <c r="BM48" i="1"/>
  <c r="BM47" i="1"/>
  <c r="BM46" i="1"/>
  <c r="BN61" i="1"/>
  <c r="BN60" i="1"/>
  <c r="BN59" i="1"/>
  <c r="BN57" i="1"/>
  <c r="BN56" i="1"/>
  <c r="BN53" i="1"/>
  <c r="BN52" i="1"/>
  <c r="BN50" i="1"/>
  <c r="BN49" i="1"/>
  <c r="BN48" i="1"/>
  <c r="BN47" i="1"/>
  <c r="BN46" i="1"/>
  <c r="BP45" i="1"/>
  <c r="S36" i="1"/>
  <c r="V36" i="1"/>
  <c r="F151" i="1"/>
  <c r="F149" i="1"/>
  <c r="F148" i="1"/>
  <c r="C152" i="1"/>
  <c r="G93" i="1"/>
  <c r="G84" i="1"/>
  <c r="G86" i="1" s="1"/>
  <c r="G75" i="1"/>
  <c r="G78" i="1" s="1"/>
  <c r="G72" i="1"/>
  <c r="G73" i="1" s="1"/>
  <c r="G62" i="1"/>
  <c r="G51" i="1"/>
  <c r="G45" i="1"/>
  <c r="G44" i="1" s="1"/>
  <c r="I40" i="1"/>
  <c r="H40" i="1"/>
  <c r="E40" i="1"/>
  <c r="G38" i="1"/>
  <c r="F36" i="1"/>
  <c r="F33" i="1"/>
  <c r="F28" i="1"/>
  <c r="F27" i="1"/>
  <c r="F25" i="1"/>
  <c r="F23" i="1"/>
  <c r="F22" i="1"/>
  <c r="G40" i="1" s="1"/>
  <c r="F19" i="1"/>
  <c r="F18" i="1"/>
  <c r="F17" i="1"/>
  <c r="F15" i="1"/>
  <c r="F14" i="1"/>
  <c r="F2" i="1"/>
  <c r="E36" i="1"/>
  <c r="G36" i="1"/>
  <c r="C36" i="1"/>
  <c r="C31" i="1"/>
  <c r="E24" i="1"/>
  <c r="E42" i="1" s="1"/>
  <c r="D24" i="1"/>
  <c r="D39" i="1" s="1"/>
  <c r="H24" i="1"/>
  <c r="H93" i="1" s="1"/>
  <c r="I24" i="1"/>
  <c r="D152" i="1"/>
  <c r="H82" i="1"/>
  <c r="I82" i="1" s="1"/>
  <c r="J82" i="1" s="1"/>
  <c r="H81" i="1"/>
  <c r="I81" i="1" s="1"/>
  <c r="J81" i="1" s="1"/>
  <c r="H80" i="1"/>
  <c r="I80" i="1" s="1"/>
  <c r="J80" i="1" s="1"/>
  <c r="H77" i="1"/>
  <c r="I77" i="1" s="1"/>
  <c r="J77" i="1" s="1"/>
  <c r="H76" i="1"/>
  <c r="I76" i="1" s="1"/>
  <c r="J76" i="1" s="1"/>
  <c r="H71" i="1"/>
  <c r="I71" i="1" s="1"/>
  <c r="J71" i="1" s="1"/>
  <c r="H70" i="1"/>
  <c r="I70" i="1" s="1"/>
  <c r="J70" i="1" s="1"/>
  <c r="H68" i="1"/>
  <c r="I68" i="1" s="1"/>
  <c r="J68" i="1" s="1"/>
  <c r="H67" i="1"/>
  <c r="I67" i="1" s="1"/>
  <c r="H65" i="1"/>
  <c r="I65" i="1" s="1"/>
  <c r="J65" i="1" s="1"/>
  <c r="H62" i="1"/>
  <c r="H51" i="1"/>
  <c r="H45" i="1"/>
  <c r="D36" i="1"/>
  <c r="D31" i="1"/>
  <c r="E152" i="1"/>
  <c r="E31" i="1"/>
  <c r="I58" i="1"/>
  <c r="I62" i="1" s="1"/>
  <c r="I51" i="1"/>
  <c r="I45" i="1"/>
  <c r="I36" i="1"/>
  <c r="I31" i="1"/>
  <c r="F62" i="1"/>
  <c r="C42" i="1"/>
  <c r="E29" i="1"/>
  <c r="D29" i="1"/>
  <c r="C29" i="1"/>
  <c r="C26" i="1"/>
  <c r="C41" i="1" s="1"/>
  <c r="BJ24" i="1"/>
  <c r="J17" i="1"/>
  <c r="J18" i="1"/>
  <c r="J19" i="1"/>
  <c r="J22" i="1"/>
  <c r="K40" i="1" s="1"/>
  <c r="J23" i="1"/>
  <c r="BJ152" i="1"/>
  <c r="BK152" i="1"/>
  <c r="J151" i="1"/>
  <c r="BL151" i="1" s="1"/>
  <c r="J149" i="1"/>
  <c r="BL149" i="1" s="1"/>
  <c r="J148" i="1"/>
  <c r="BL148" i="1" s="1"/>
  <c r="J93" i="1"/>
  <c r="J85" i="1"/>
  <c r="J83" i="1"/>
  <c r="J69" i="1"/>
  <c r="J66" i="1"/>
  <c r="BM83" i="1"/>
  <c r="BJ84" i="1"/>
  <c r="BJ86" i="1" s="1"/>
  <c r="BK86" i="1"/>
  <c r="BL84" i="1"/>
  <c r="BL86" i="1" s="1"/>
  <c r="BM66" i="1"/>
  <c r="BM33" i="1"/>
  <c r="BM31" i="1"/>
  <c r="BM28" i="1"/>
  <c r="BM27" i="1"/>
  <c r="BM25" i="1"/>
  <c r="BM23" i="1"/>
  <c r="BM22" i="1"/>
  <c r="BJ75" i="1"/>
  <c r="BJ78" i="1" s="1"/>
  <c r="BK75" i="1"/>
  <c r="BK78" i="1" s="1"/>
  <c r="BL75" i="1"/>
  <c r="BL78" i="1" s="1"/>
  <c r="BJ72" i="1"/>
  <c r="BJ73" i="1" s="1"/>
  <c r="BK72" i="1"/>
  <c r="BK73" i="1" s="1"/>
  <c r="BL72" i="1"/>
  <c r="BL73" i="1" s="1"/>
  <c r="J58" i="1"/>
  <c r="J62" i="1" s="1"/>
  <c r="J51" i="1"/>
  <c r="BL51" i="1" s="1"/>
  <c r="J45" i="1"/>
  <c r="BK24" i="1"/>
  <c r="BL24" i="1"/>
  <c r="R15" i="1"/>
  <c r="BN15" i="1" s="1"/>
  <c r="R14" i="1"/>
  <c r="BN14" i="1" s="1"/>
  <c r="G152" i="1"/>
  <c r="H152" i="1"/>
  <c r="I152" i="1"/>
  <c r="M77" i="1"/>
  <c r="N77" i="1" s="1"/>
  <c r="BM77" i="1" s="1"/>
  <c r="M62" i="1"/>
  <c r="M51" i="1"/>
  <c r="M45" i="1"/>
  <c r="M44" i="1" s="1"/>
  <c r="O152" i="1"/>
  <c r="N152" i="1"/>
  <c r="BM152" i="1" s="1"/>
  <c r="N151" i="1"/>
  <c r="BM151" i="1" s="1"/>
  <c r="N148" i="1"/>
  <c r="BM148" i="1" s="1"/>
  <c r="N149" i="1"/>
  <c r="BM149" i="1" s="1"/>
  <c r="N93" i="1"/>
  <c r="N62" i="1"/>
  <c r="N51" i="1"/>
  <c r="BM51" i="1" s="1"/>
  <c r="N45" i="1"/>
  <c r="N44" i="1" s="1"/>
  <c r="J15" i="1"/>
  <c r="J14" i="1"/>
  <c r="N14" i="1"/>
  <c r="N15" i="1"/>
  <c r="Q152" i="1"/>
  <c r="R151" i="1"/>
  <c r="BN151" i="1" s="1"/>
  <c r="R149" i="1"/>
  <c r="BN149" i="1" s="1"/>
  <c r="R148" i="1"/>
  <c r="BN148" i="1" s="1"/>
  <c r="V151" i="1"/>
  <c r="BO151" i="1" s="1"/>
  <c r="V152" i="1"/>
  <c r="BO152" i="1" s="1"/>
  <c r="Z150" i="1"/>
  <c r="BP150" i="1" s="1"/>
  <c r="V150" i="1"/>
  <c r="BO150" i="1" s="1"/>
  <c r="Z149" i="1"/>
  <c r="BP149" i="1" s="1"/>
  <c r="V149" i="1"/>
  <c r="BO149" i="1" s="1"/>
  <c r="V148" i="1"/>
  <c r="BO148" i="1" s="1"/>
  <c r="Z152" i="1"/>
  <c r="BP152" i="1" s="1"/>
  <c r="Z151" i="1"/>
  <c r="BP151" i="1" s="1"/>
  <c r="Z148" i="1"/>
  <c r="BP148" i="1" s="1"/>
  <c r="Z86" i="1"/>
  <c r="W86" i="1"/>
  <c r="T65" i="1"/>
  <c r="U65" i="1" s="1"/>
  <c r="X65" i="1"/>
  <c r="Y65" i="1" s="1"/>
  <c r="BP65" i="1" s="1"/>
  <c r="BP66" i="1"/>
  <c r="BO66" i="1"/>
  <c r="BP61" i="1"/>
  <c r="BP60" i="1"/>
  <c r="BP59" i="1"/>
  <c r="BP58" i="1"/>
  <c r="BP57" i="1"/>
  <c r="BP56" i="1"/>
  <c r="BP53" i="1"/>
  <c r="BP52" i="1"/>
  <c r="BP50" i="1"/>
  <c r="BP49" i="1"/>
  <c r="BP48" i="1"/>
  <c r="BP47" i="1"/>
  <c r="BP46" i="1"/>
  <c r="BO21" i="1"/>
  <c r="BO20" i="1"/>
  <c r="BP15" i="1"/>
  <c r="BP14" i="1"/>
  <c r="Z75" i="1"/>
  <c r="Z78" i="1" s="1"/>
  <c r="Z72" i="1"/>
  <c r="Z73" i="1" s="1"/>
  <c r="Z62" i="1"/>
  <c r="Z51" i="1"/>
  <c r="Z54" i="1" s="1"/>
  <c r="Z31" i="1"/>
  <c r="Z22" i="1"/>
  <c r="Y22" i="1"/>
  <c r="J14" i="5"/>
  <c r="J9" i="5"/>
  <c r="J8" i="5"/>
  <c r="E7" i="5"/>
  <c r="E6" i="5" s="1"/>
  <c r="E5" i="5" s="1"/>
  <c r="E8" i="5"/>
  <c r="E11" i="5"/>
  <c r="E12" i="5" s="1"/>
  <c r="E13" i="5" s="1"/>
  <c r="E14" i="5" s="1"/>
  <c r="E15" i="5" s="1"/>
  <c r="E10" i="5"/>
  <c r="B11" i="5"/>
  <c r="B12" i="5" s="1"/>
  <c r="B13" i="5" s="1"/>
  <c r="B14" i="5" s="1"/>
  <c r="B15" i="5" s="1"/>
  <c r="B10" i="5"/>
  <c r="B7" i="5"/>
  <c r="B6" i="5" s="1"/>
  <c r="B5" i="5" s="1"/>
  <c r="B8" i="5"/>
  <c r="B9" i="5"/>
  <c r="W131" i="1"/>
  <c r="V131" i="1"/>
  <c r="V128" i="1" s="1"/>
  <c r="U131" i="1"/>
  <c r="U128" i="1" s="1"/>
  <c r="AA78" i="1" l="1"/>
  <c r="W128" i="1"/>
  <c r="AD22" i="1"/>
  <c r="Z24" i="1"/>
  <c r="Y24" i="1"/>
  <c r="AC38" i="1" s="1"/>
  <c r="AA44" i="1"/>
  <c r="AA73" i="1"/>
  <c r="AB72" i="1"/>
  <c r="AB73" i="1" s="1"/>
  <c r="AB87" i="1" s="1"/>
  <c r="AD40" i="1"/>
  <c r="AA87" i="1"/>
  <c r="AQ30" i="1"/>
  <c r="AQ32" i="1" s="1"/>
  <c r="AQ34" i="1" s="1"/>
  <c r="AQ35" i="1" s="1"/>
  <c r="AV30" i="1"/>
  <c r="AV32" i="1" s="1"/>
  <c r="AV34" i="1" s="1"/>
  <c r="AV35" i="1" s="1"/>
  <c r="AR30" i="1"/>
  <c r="AR32" i="1" s="1"/>
  <c r="AR34" i="1" s="1"/>
  <c r="AR35" i="1" s="1"/>
  <c r="AS30" i="1"/>
  <c r="AS32" i="1" s="1"/>
  <c r="AS34" i="1" s="1"/>
  <c r="AS35" i="1" s="1"/>
  <c r="AU30" i="1"/>
  <c r="AU32" i="1" s="1"/>
  <c r="AU34" i="1" s="1"/>
  <c r="AU35" i="1" s="1"/>
  <c r="AT30" i="1"/>
  <c r="AT32" i="1" s="1"/>
  <c r="AT34" i="1" s="1"/>
  <c r="AT35" i="1" s="1"/>
  <c r="AW30" i="1"/>
  <c r="AW32" i="1" s="1"/>
  <c r="AW34" i="1" s="1"/>
  <c r="AW35" i="1" s="1"/>
  <c r="F29" i="1"/>
  <c r="AX30" i="1"/>
  <c r="AX32" i="1" s="1"/>
  <c r="AX34" i="1" s="1"/>
  <c r="AX35" i="1" s="1"/>
  <c r="AZ30" i="1"/>
  <c r="AZ32" i="1" s="1"/>
  <c r="AZ34" i="1" s="1"/>
  <c r="AZ35" i="1" s="1"/>
  <c r="H54" i="1"/>
  <c r="BA30" i="1"/>
  <c r="BA32" i="1" s="1"/>
  <c r="BA34" i="1" s="1"/>
  <c r="BA35" i="1" s="1"/>
  <c r="AY30" i="1"/>
  <c r="AY32" i="1" s="1"/>
  <c r="AY34" i="1" s="1"/>
  <c r="AY35" i="1" s="1"/>
  <c r="D26" i="1"/>
  <c r="D41" i="1" s="1"/>
  <c r="AA40" i="1"/>
  <c r="J152" i="1"/>
  <c r="BL152" i="1" s="1"/>
  <c r="H75" i="1"/>
  <c r="H78" i="1" s="1"/>
  <c r="I38" i="1"/>
  <c r="E26" i="1"/>
  <c r="E41" i="1" s="1"/>
  <c r="AA29" i="1"/>
  <c r="AB29" i="1"/>
  <c r="BQ28" i="1"/>
  <c r="BR28" i="1" s="1"/>
  <c r="I93" i="1"/>
  <c r="H38" i="1"/>
  <c r="H72" i="1"/>
  <c r="I72" i="1" s="1"/>
  <c r="J72" i="1" s="1"/>
  <c r="I44" i="1"/>
  <c r="G87" i="1"/>
  <c r="F31" i="1"/>
  <c r="F24" i="1"/>
  <c r="F39" i="1" s="1"/>
  <c r="J44" i="1"/>
  <c r="F152" i="1"/>
  <c r="BM62" i="1"/>
  <c r="AD29" i="1"/>
  <c r="BP44" i="1"/>
  <c r="H84" i="1"/>
  <c r="I84" i="1" s="1"/>
  <c r="J84" i="1" s="1"/>
  <c r="J86" i="1" s="1"/>
  <c r="E39" i="1"/>
  <c r="D42" i="1"/>
  <c r="G54" i="1"/>
  <c r="BQ31" i="1"/>
  <c r="BR31" i="1" s="1"/>
  <c r="Z26" i="1"/>
  <c r="Z93" i="1"/>
  <c r="BO22" i="1"/>
  <c r="BQ27" i="1"/>
  <c r="BR27" i="1" s="1"/>
  <c r="H44" i="1"/>
  <c r="BQ36" i="1"/>
  <c r="BR36" i="1" s="1"/>
  <c r="BL45" i="1"/>
  <c r="R152" i="1"/>
  <c r="BN152" i="1" s="1"/>
  <c r="J40" i="1"/>
  <c r="I54" i="1"/>
  <c r="BL58" i="1"/>
  <c r="BL62" i="1" s="1"/>
  <c r="BM45" i="1"/>
  <c r="BP62" i="1"/>
  <c r="F40" i="1"/>
  <c r="J67" i="1"/>
  <c r="Z87" i="1"/>
  <c r="BL87" i="1"/>
  <c r="BK87" i="1"/>
  <c r="BO65" i="1"/>
  <c r="M54" i="1"/>
  <c r="C30" i="1"/>
  <c r="C32" i="1" s="1"/>
  <c r="C34" i="1" s="1"/>
  <c r="C35" i="1" s="1"/>
  <c r="J54" i="1"/>
  <c r="BP51" i="1"/>
  <c r="BP54" i="1" s="1"/>
  <c r="N54" i="1"/>
  <c r="AA131" i="1"/>
  <c r="AA142" i="1" s="1"/>
  <c r="BM24" i="1"/>
  <c r="BR29" i="1" l="1"/>
  <c r="BR30" i="1" s="1"/>
  <c r="BR32" i="1" s="1"/>
  <c r="BR33" i="1" s="1"/>
  <c r="BR34" i="1" s="1"/>
  <c r="BR35" i="1" s="1"/>
  <c r="AD38" i="1"/>
  <c r="J73" i="1"/>
  <c r="AA128" i="1"/>
  <c r="AA144" i="1"/>
  <c r="I75" i="1"/>
  <c r="J75" i="1" s="1"/>
  <c r="J78" i="1" s="1"/>
  <c r="E30" i="1"/>
  <c r="E32" i="1" s="1"/>
  <c r="E34" i="1" s="1"/>
  <c r="E35" i="1" s="1"/>
  <c r="D30" i="1"/>
  <c r="D32" i="1" s="1"/>
  <c r="D34" i="1" s="1"/>
  <c r="D35" i="1" s="1"/>
  <c r="I73" i="1"/>
  <c r="H73" i="1"/>
  <c r="I86" i="1"/>
  <c r="H86" i="1"/>
  <c r="F26" i="1"/>
  <c r="G39" i="1"/>
  <c r="J38" i="1"/>
  <c r="F42" i="1"/>
  <c r="I78" i="1"/>
  <c r="BM44" i="1"/>
  <c r="BM54" i="1"/>
  <c r="BL44" i="1"/>
  <c r="BL54" i="1"/>
  <c r="J87" i="1"/>
  <c r="H87" i="1" l="1"/>
  <c r="I87" i="1"/>
  <c r="F30" i="1"/>
  <c r="F32" i="1" s="1"/>
  <c r="F34" i="1" s="1"/>
  <c r="F41" i="1"/>
  <c r="S138" i="1"/>
  <c r="S131" i="1" s="1"/>
  <c r="W142" i="1" s="1"/>
  <c r="F35" i="1" l="1"/>
  <c r="F64" i="1"/>
  <c r="X135" i="1"/>
  <c r="T135" i="1"/>
  <c r="T131" i="1" s="1"/>
  <c r="Y135" i="1" l="1"/>
  <c r="X131" i="1"/>
  <c r="AB131" i="1"/>
  <c r="BU12" i="1"/>
  <c r="BV10" i="1"/>
  <c r="BV12" i="1" s="1"/>
  <c r="BV4" i="1"/>
  <c r="BV6" i="1" s="1"/>
  <c r="BU6" i="1"/>
  <c r="BC38" i="1"/>
  <c r="BB31" i="1"/>
  <c r="BB29" i="1"/>
  <c r="BB26" i="1"/>
  <c r="BB41" i="1" s="1"/>
  <c r="BD38" i="1"/>
  <c r="BC31" i="1"/>
  <c r="BC29" i="1"/>
  <c r="BC26" i="1"/>
  <c r="BC41" i="1" s="1"/>
  <c r="BE38" i="1"/>
  <c r="BD31" i="1"/>
  <c r="BD29" i="1"/>
  <c r="BD26" i="1"/>
  <c r="BD41" i="1" s="1"/>
  <c r="BF38" i="1"/>
  <c r="BE29" i="1"/>
  <c r="BE26" i="1"/>
  <c r="BE41" i="1" s="1"/>
  <c r="BG38" i="1"/>
  <c r="BF29" i="1"/>
  <c r="BF26" i="1"/>
  <c r="BH38" i="1"/>
  <c r="BG29" i="1"/>
  <c r="BG26" i="1"/>
  <c r="BI38" i="1"/>
  <c r="BH29" i="1"/>
  <c r="BH26" i="1"/>
  <c r="BH41" i="1" s="1"/>
  <c r="BJ38" i="1"/>
  <c r="BI29" i="1"/>
  <c r="BI26" i="1"/>
  <c r="BI41" i="1" s="1"/>
  <c r="BK38" i="1"/>
  <c r="BJ29" i="1"/>
  <c r="BJ26" i="1"/>
  <c r="BJ41" i="1" s="1"/>
  <c r="L84" i="1"/>
  <c r="L82" i="1"/>
  <c r="L81" i="1"/>
  <c r="L80" i="1"/>
  <c r="L76" i="1"/>
  <c r="L71" i="1"/>
  <c r="L69" i="1"/>
  <c r="L70" i="1"/>
  <c r="L68" i="1"/>
  <c r="L67" i="1"/>
  <c r="L65" i="1"/>
  <c r="L58" i="1"/>
  <c r="L62" i="1" s="1"/>
  <c r="L51" i="1"/>
  <c r="L45" i="1"/>
  <c r="H42" i="1"/>
  <c r="G42" i="1"/>
  <c r="J39" i="1"/>
  <c r="I39" i="1"/>
  <c r="H39" i="1"/>
  <c r="K38" i="1"/>
  <c r="H29" i="1"/>
  <c r="H26" i="1"/>
  <c r="H41" i="1" s="1"/>
  <c r="K93" i="1"/>
  <c r="K85" i="1"/>
  <c r="K75" i="1"/>
  <c r="K72" i="1"/>
  <c r="K58" i="1"/>
  <c r="K62" i="1" s="1"/>
  <c r="K51" i="1"/>
  <c r="K45" i="1"/>
  <c r="G29" i="1"/>
  <c r="G26" i="1"/>
  <c r="N17" i="1"/>
  <c r="R17" i="1"/>
  <c r="BN17" i="1" s="1"/>
  <c r="R93" i="1"/>
  <c r="Q58" i="1"/>
  <c r="Q62" i="1" s="1"/>
  <c r="Q51" i="1"/>
  <c r="Q45" i="1"/>
  <c r="P84" i="1"/>
  <c r="P85" i="1"/>
  <c r="P83" i="1"/>
  <c r="P82" i="1"/>
  <c r="P81" i="1"/>
  <c r="P80" i="1"/>
  <c r="P77" i="1"/>
  <c r="P76" i="1"/>
  <c r="P71" i="1"/>
  <c r="P70" i="1"/>
  <c r="P69" i="1"/>
  <c r="P68" i="1"/>
  <c r="P67" i="1"/>
  <c r="P66" i="1"/>
  <c r="P65" i="1"/>
  <c r="P58" i="1"/>
  <c r="P62" i="1" s="1"/>
  <c r="P51" i="1"/>
  <c r="P45" i="1"/>
  <c r="BL38" i="1"/>
  <c r="BK29" i="1"/>
  <c r="BK26" i="1"/>
  <c r="BK41" i="1" s="1"/>
  <c r="O24" i="1"/>
  <c r="O93" i="1" s="1"/>
  <c r="P24" i="1"/>
  <c r="P93" i="1" s="1"/>
  <c r="O86" i="1"/>
  <c r="O75" i="1"/>
  <c r="O72" i="1"/>
  <c r="O62" i="1"/>
  <c r="O51" i="1"/>
  <c r="O45" i="1"/>
  <c r="L24" i="1"/>
  <c r="L38" i="1" s="1"/>
  <c r="M24" i="1"/>
  <c r="I29" i="1"/>
  <c r="I26" i="1"/>
  <c r="I41" i="1" s="1"/>
  <c r="I42" i="1"/>
  <c r="M29" i="1"/>
  <c r="BN19" i="1"/>
  <c r="BN18" i="1"/>
  <c r="BN22" i="1"/>
  <c r="BN23" i="1"/>
  <c r="R36" i="1"/>
  <c r="R33" i="1"/>
  <c r="R28" i="1"/>
  <c r="R58" i="1"/>
  <c r="BN58" i="1" s="1"/>
  <c r="BN62" i="1" s="1"/>
  <c r="R51" i="1"/>
  <c r="BN51" i="1" s="1"/>
  <c r="R45" i="1"/>
  <c r="BN45" i="1" s="1"/>
  <c r="BO61" i="1"/>
  <c r="BO60" i="1"/>
  <c r="BO59" i="1"/>
  <c r="BO57" i="1"/>
  <c r="BO56" i="1"/>
  <c r="BO53" i="1"/>
  <c r="BO52" i="1"/>
  <c r="BO50" i="1"/>
  <c r="BO49" i="1"/>
  <c r="BO48" i="1"/>
  <c r="BO47" i="1"/>
  <c r="BO46" i="1"/>
  <c r="BL29" i="1"/>
  <c r="BL26" i="1"/>
  <c r="BL41" i="1" s="1"/>
  <c r="BN2" i="1"/>
  <c r="BP21" i="1"/>
  <c r="BP20" i="1"/>
  <c r="V17" i="1"/>
  <c r="T22" i="1"/>
  <c r="BO33" i="1"/>
  <c r="BO28" i="1"/>
  <c r="BO27" i="1"/>
  <c r="BO25" i="1"/>
  <c r="BO19" i="1"/>
  <c r="BO18" i="1"/>
  <c r="BO23" i="1"/>
  <c r="S22" i="1"/>
  <c r="W22" i="1"/>
  <c r="W24" i="1" s="1"/>
  <c r="Y84" i="1"/>
  <c r="BP84" i="1" s="1"/>
  <c r="X22" i="1"/>
  <c r="Y130" i="1"/>
  <c r="X81" i="1"/>
  <c r="X85" i="1"/>
  <c r="X82" i="1"/>
  <c r="X83" i="1"/>
  <c r="X80" i="1"/>
  <c r="X77" i="1"/>
  <c r="X76" i="1"/>
  <c r="X71" i="1"/>
  <c r="X70" i="1"/>
  <c r="X69" i="1"/>
  <c r="X68" i="1"/>
  <c r="X67" i="1"/>
  <c r="X51" i="1"/>
  <c r="X45" i="1"/>
  <c r="U22" i="1"/>
  <c r="U130" i="1" s="1"/>
  <c r="U144" i="1" s="1"/>
  <c r="Y62" i="1"/>
  <c r="X62" i="1"/>
  <c r="Y51" i="1"/>
  <c r="Y45" i="1"/>
  <c r="Y31" i="1"/>
  <c r="BP19" i="1"/>
  <c r="BP18" i="1"/>
  <c r="BP23" i="1"/>
  <c r="AB142" i="1" l="1"/>
  <c r="AB145" i="1"/>
  <c r="X128" i="1"/>
  <c r="X142" i="1"/>
  <c r="AB40" i="1"/>
  <c r="AC40" i="1"/>
  <c r="BF30" i="1"/>
  <c r="BF32" i="1" s="1"/>
  <c r="BF34" i="1" s="1"/>
  <c r="BF35" i="1" s="1"/>
  <c r="BG30" i="1"/>
  <c r="BG32" i="1" s="1"/>
  <c r="BG34" i="1" s="1"/>
  <c r="BG35" i="1" s="1"/>
  <c r="BN54" i="1"/>
  <c r="BN44" i="1"/>
  <c r="V22" i="1"/>
  <c r="V24" i="1" s="1"/>
  <c r="M76" i="1"/>
  <c r="N76" i="1" s="1"/>
  <c r="M71" i="1"/>
  <c r="N71" i="1" s="1"/>
  <c r="Y68" i="1"/>
  <c r="BP68" i="1" s="1"/>
  <c r="M80" i="1"/>
  <c r="Q68" i="1"/>
  <c r="R68" i="1" s="1"/>
  <c r="Y82" i="1"/>
  <c r="BP82" i="1" s="1"/>
  <c r="Q81" i="1"/>
  <c r="R81" i="1" s="1"/>
  <c r="M68" i="1"/>
  <c r="N68" i="1" s="1"/>
  <c r="M70" i="1"/>
  <c r="N70" i="1" s="1"/>
  <c r="BP22" i="1"/>
  <c r="Y76" i="1"/>
  <c r="BP76" i="1" s="1"/>
  <c r="Q70" i="1"/>
  <c r="R70" i="1" s="1"/>
  <c r="M69" i="1"/>
  <c r="N69" i="1" s="1"/>
  <c r="Y69" i="1"/>
  <c r="BP69" i="1" s="1"/>
  <c r="M81" i="1"/>
  <c r="N81" i="1" s="1"/>
  <c r="Y80" i="1"/>
  <c r="BP80" i="1" s="1"/>
  <c r="X86" i="1"/>
  <c r="Q71" i="1"/>
  <c r="R71" i="1" s="1"/>
  <c r="Y83" i="1"/>
  <c r="BP83" i="1" s="1"/>
  <c r="Y85" i="1"/>
  <c r="BP85" i="1" s="1"/>
  <c r="Y81" i="1"/>
  <c r="BP81" i="1" s="1"/>
  <c r="Q84" i="1"/>
  <c r="R84" i="1" s="1"/>
  <c r="M67" i="1"/>
  <c r="N67" i="1" s="1"/>
  <c r="BM67" i="1" s="1"/>
  <c r="Y67" i="1"/>
  <c r="BP67" i="1" s="1"/>
  <c r="Y70" i="1"/>
  <c r="BP70" i="1" s="1"/>
  <c r="M82" i="1"/>
  <c r="N82" i="1" s="1"/>
  <c r="M84" i="1"/>
  <c r="N84" i="1" s="1"/>
  <c r="Q69" i="1"/>
  <c r="R69" i="1" s="1"/>
  <c r="Y77" i="1"/>
  <c r="BP77" i="1" s="1"/>
  <c r="Q76" i="1"/>
  <c r="R76" i="1" s="1"/>
  <c r="Q77" i="1"/>
  <c r="R77" i="1" s="1"/>
  <c r="BN77" i="1" s="1"/>
  <c r="Q83" i="1"/>
  <c r="R83" i="1" s="1"/>
  <c r="O73" i="1"/>
  <c r="O78" i="1"/>
  <c r="Q66" i="1"/>
  <c r="R66" i="1" s="1"/>
  <c r="L72" i="1"/>
  <c r="M72" i="1" s="1"/>
  <c r="N72" i="1" s="1"/>
  <c r="Y71" i="1"/>
  <c r="BP71" i="1" s="1"/>
  <c r="L75" i="1"/>
  <c r="M75" i="1" s="1"/>
  <c r="L85" i="1"/>
  <c r="M85" i="1" s="1"/>
  <c r="N85" i="1" s="1"/>
  <c r="Q82" i="1"/>
  <c r="R82" i="1" s="1"/>
  <c r="Q85" i="1"/>
  <c r="R85" i="1" s="1"/>
  <c r="BN85" i="1" s="1"/>
  <c r="BN24" i="1"/>
  <c r="Q67" i="1"/>
  <c r="R67" i="1" s="1"/>
  <c r="M38" i="1"/>
  <c r="M93" i="1"/>
  <c r="M65" i="1"/>
  <c r="L54" i="1"/>
  <c r="X24" i="1"/>
  <c r="X130" i="1"/>
  <c r="X144" i="1" s="1"/>
  <c r="W130" i="1"/>
  <c r="W144" i="1" s="1"/>
  <c r="T24" i="1"/>
  <c r="T129" i="1" s="1"/>
  <c r="T145" i="1" s="1"/>
  <c r="T130" i="1"/>
  <c r="T144" i="1" s="1"/>
  <c r="BO17" i="1"/>
  <c r="BO24" i="1" s="1"/>
  <c r="Y26" i="1"/>
  <c r="Y129" i="1"/>
  <c r="S24" i="1"/>
  <c r="S129" i="1" s="1"/>
  <c r="S145" i="1" s="1"/>
  <c r="S130" i="1"/>
  <c r="AB144" i="1"/>
  <c r="U24" i="1"/>
  <c r="Z135" i="1"/>
  <c r="Y131" i="1"/>
  <c r="AC131" i="1"/>
  <c r="K78" i="1"/>
  <c r="BB30" i="1"/>
  <c r="BB32" i="1" s="1"/>
  <c r="BB34" i="1" s="1"/>
  <c r="BB35" i="1" s="1"/>
  <c r="BW4" i="1"/>
  <c r="BX4" i="1" s="1"/>
  <c r="BY4" i="1" s="1"/>
  <c r="BW10" i="1"/>
  <c r="BX10" i="1" s="1"/>
  <c r="BY10" i="1" s="1"/>
  <c r="K54" i="1"/>
  <c r="BG41" i="1"/>
  <c r="BF41" i="1"/>
  <c r="P54" i="1"/>
  <c r="G30" i="1"/>
  <c r="G32" i="1" s="1"/>
  <c r="G34" i="1" s="1"/>
  <c r="BC30" i="1"/>
  <c r="BC32" i="1" s="1"/>
  <c r="BC34" i="1" s="1"/>
  <c r="BC35" i="1" s="1"/>
  <c r="BD30" i="1"/>
  <c r="BD32" i="1" s="1"/>
  <c r="BD34" i="1" s="1"/>
  <c r="BD35" i="1" s="1"/>
  <c r="BE30" i="1"/>
  <c r="BE32" i="1" s="1"/>
  <c r="BE34" i="1" s="1"/>
  <c r="BE35" i="1" s="1"/>
  <c r="O54" i="1"/>
  <c r="K86" i="1"/>
  <c r="L44" i="1"/>
  <c r="BH30" i="1"/>
  <c r="BH32" i="1" s="1"/>
  <c r="BH34" i="1" s="1"/>
  <c r="BH35" i="1" s="1"/>
  <c r="G41" i="1"/>
  <c r="BI30" i="1"/>
  <c r="BI32" i="1" s="1"/>
  <c r="BI34" i="1" s="1"/>
  <c r="BI35" i="1" s="1"/>
  <c r="BJ30" i="1"/>
  <c r="BJ32" i="1" s="1"/>
  <c r="BJ34" i="1" s="1"/>
  <c r="P72" i="1"/>
  <c r="Q72" i="1" s="1"/>
  <c r="R72" i="1" s="1"/>
  <c r="P86" i="1"/>
  <c r="Y54" i="1"/>
  <c r="K44" i="1"/>
  <c r="Q54" i="1"/>
  <c r="L93" i="1"/>
  <c r="K73" i="1"/>
  <c r="Q44" i="1"/>
  <c r="H30" i="1"/>
  <c r="H32" i="1" s="1"/>
  <c r="H34" i="1" s="1"/>
  <c r="P44" i="1"/>
  <c r="P75" i="1"/>
  <c r="Q80" i="1"/>
  <c r="R80" i="1" s="1"/>
  <c r="Q65" i="1"/>
  <c r="M26" i="1"/>
  <c r="M41" i="1" s="1"/>
  <c r="BK30" i="1"/>
  <c r="BK32" i="1" s="1"/>
  <c r="BK34" i="1" s="1"/>
  <c r="O44" i="1"/>
  <c r="Y93" i="1"/>
  <c r="R54" i="1"/>
  <c r="BL30" i="1"/>
  <c r="BL32" i="1" s="1"/>
  <c r="BL34" i="1" s="1"/>
  <c r="I30" i="1"/>
  <c r="I32" i="1" s="1"/>
  <c r="I34" i="1" s="1"/>
  <c r="R44" i="1"/>
  <c r="R62" i="1"/>
  <c r="X54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X124" i="1"/>
  <c r="Y124" i="1" s="1"/>
  <c r="W123" i="1"/>
  <c r="U123" i="1"/>
  <c r="W93" i="1"/>
  <c r="K4" i="3"/>
  <c r="K7" i="3" s="1"/>
  <c r="W75" i="1"/>
  <c r="W72" i="1"/>
  <c r="W58" i="1"/>
  <c r="W62" i="1" s="1"/>
  <c r="W51" i="1"/>
  <c r="W45" i="1"/>
  <c r="W31" i="1"/>
  <c r="Z44" i="1"/>
  <c r="Y44" i="1"/>
  <c r="X44" i="1"/>
  <c r="V58" i="1"/>
  <c r="BO58" i="1" s="1"/>
  <c r="BO62" i="1" s="1"/>
  <c r="V51" i="1"/>
  <c r="BO51" i="1" s="1"/>
  <c r="V45" i="1"/>
  <c r="BO45" i="1" s="1"/>
  <c r="BN31" i="1"/>
  <c r="BM29" i="1"/>
  <c r="V121" i="1"/>
  <c r="C24" i="4"/>
  <c r="C23" i="4"/>
  <c r="K18" i="4"/>
  <c r="K10" i="4"/>
  <c r="G12" i="4"/>
  <c r="G13" i="4" s="1"/>
  <c r="G14" i="4" s="1"/>
  <c r="G15" i="4" s="1"/>
  <c r="G16" i="4" s="1"/>
  <c r="G17" i="4" s="1"/>
  <c r="G18" i="4" s="1"/>
  <c r="G11" i="4"/>
  <c r="T123" i="1"/>
  <c r="T120" i="1"/>
  <c r="Z120" i="1"/>
  <c r="Y120" i="1"/>
  <c r="X120" i="1"/>
  <c r="W120" i="1"/>
  <c r="V120" i="1"/>
  <c r="U120" i="1"/>
  <c r="X129" i="1" l="1"/>
  <c r="X145" i="1" s="1"/>
  <c r="AB38" i="1"/>
  <c r="AC129" i="1"/>
  <c r="AC142" i="1"/>
  <c r="Y128" i="1"/>
  <c r="Y142" i="1"/>
  <c r="AC130" i="1"/>
  <c r="AC144" i="1" s="1"/>
  <c r="Y127" i="1"/>
  <c r="X127" i="1"/>
  <c r="Y144" i="1"/>
  <c r="U129" i="1"/>
  <c r="AC145" i="1"/>
  <c r="BN66" i="1"/>
  <c r="O87" i="1"/>
  <c r="BN81" i="1"/>
  <c r="BN69" i="1"/>
  <c r="BM72" i="1"/>
  <c r="L86" i="1"/>
  <c r="BN72" i="1"/>
  <c r="L73" i="1"/>
  <c r="BM69" i="1"/>
  <c r="BN83" i="1"/>
  <c r="BN68" i="1"/>
  <c r="L78" i="1"/>
  <c r="BN67" i="1"/>
  <c r="AB42" i="1"/>
  <c r="BN80" i="1"/>
  <c r="BO44" i="1"/>
  <c r="BN70" i="1"/>
  <c r="BN76" i="1"/>
  <c r="G35" i="1"/>
  <c r="G64" i="1"/>
  <c r="BN82" i="1"/>
  <c r="BN84" i="1"/>
  <c r="BM84" i="1"/>
  <c r="BM85" i="1"/>
  <c r="BM76" i="1"/>
  <c r="BN71" i="1"/>
  <c r="H35" i="1"/>
  <c r="H64" i="1"/>
  <c r="I35" i="1"/>
  <c r="I64" i="1"/>
  <c r="N65" i="1"/>
  <c r="M73" i="1"/>
  <c r="W78" i="1"/>
  <c r="BM68" i="1"/>
  <c r="M86" i="1"/>
  <c r="N80" i="1"/>
  <c r="BL35" i="1"/>
  <c r="BL64" i="1"/>
  <c r="X26" i="1"/>
  <c r="X72" i="1"/>
  <c r="W73" i="1"/>
  <c r="N75" i="1"/>
  <c r="BM75" i="1" s="1"/>
  <c r="M78" i="1"/>
  <c r="BK35" i="1"/>
  <c r="BK64" i="1"/>
  <c r="BM81" i="1"/>
  <c r="BM71" i="1"/>
  <c r="BP86" i="1"/>
  <c r="Y86" i="1"/>
  <c r="BM82" i="1"/>
  <c r="BM70" i="1"/>
  <c r="X93" i="1"/>
  <c r="R86" i="1"/>
  <c r="BJ35" i="1"/>
  <c r="BJ64" i="1"/>
  <c r="V130" i="1"/>
  <c r="V144" i="1" s="1"/>
  <c r="Z131" i="1"/>
  <c r="Y145" i="1"/>
  <c r="V129" i="1"/>
  <c r="Z130" i="1"/>
  <c r="W129" i="1"/>
  <c r="W54" i="1"/>
  <c r="BW12" i="1"/>
  <c r="BW6" i="1"/>
  <c r="K87" i="1"/>
  <c r="BP31" i="1"/>
  <c r="BS31" i="1" s="1"/>
  <c r="BT31" i="1" s="1"/>
  <c r="BU31" i="1" s="1"/>
  <c r="BV31" i="1" s="1"/>
  <c r="Q86" i="1"/>
  <c r="P73" i="1"/>
  <c r="M30" i="1"/>
  <c r="M32" i="1" s="1"/>
  <c r="M34" i="1" s="1"/>
  <c r="M35" i="1" s="1"/>
  <c r="Q73" i="1"/>
  <c r="R65" i="1"/>
  <c r="Q75" i="1"/>
  <c r="P78" i="1"/>
  <c r="V123" i="1"/>
  <c r="W40" i="1"/>
  <c r="W44" i="1"/>
  <c r="X75" i="1"/>
  <c r="X78" i="1" s="1"/>
  <c r="BM26" i="1"/>
  <c r="BM30" i="1" s="1"/>
  <c r="BM32" i="1" s="1"/>
  <c r="BM34" i="1" s="1"/>
  <c r="BM38" i="1"/>
  <c r="V54" i="1"/>
  <c r="BO54" i="1"/>
  <c r="W26" i="1"/>
  <c r="W41" i="1" s="1"/>
  <c r="V44" i="1"/>
  <c r="V62" i="1"/>
  <c r="BP120" i="1"/>
  <c r="Z40" i="1"/>
  <c r="Y40" i="1"/>
  <c r="W42" i="1"/>
  <c r="X40" i="1"/>
  <c r="W29" i="1"/>
  <c r="BP28" i="1"/>
  <c r="BS28" i="1" s="1"/>
  <c r="BT28" i="1" s="1"/>
  <c r="BU28" i="1" s="1"/>
  <c r="BV28" i="1" s="1"/>
  <c r="BS36" i="1"/>
  <c r="BT36" i="1" s="1"/>
  <c r="BU36" i="1" s="1"/>
  <c r="BV36" i="1" s="1"/>
  <c r="AC2" i="1"/>
  <c r="N38" i="1"/>
  <c r="O38" i="1"/>
  <c r="P38" i="1"/>
  <c r="R38" i="1"/>
  <c r="K39" i="1"/>
  <c r="L39" i="1"/>
  <c r="M39" i="1"/>
  <c r="N39" i="1"/>
  <c r="O39" i="1"/>
  <c r="P39" i="1"/>
  <c r="T40" i="1"/>
  <c r="L40" i="1"/>
  <c r="M40" i="1"/>
  <c r="N40" i="1"/>
  <c r="O40" i="1"/>
  <c r="P40" i="1"/>
  <c r="Q40" i="1"/>
  <c r="R40" i="1"/>
  <c r="S40" i="1"/>
  <c r="U40" i="1"/>
  <c r="Q24" i="1"/>
  <c r="Q93" i="1" s="1"/>
  <c r="U58" i="1"/>
  <c r="U62" i="1" s="1"/>
  <c r="U51" i="1"/>
  <c r="U45" i="1"/>
  <c r="Q29" i="1"/>
  <c r="U31" i="1"/>
  <c r="U29" i="1"/>
  <c r="T82" i="1"/>
  <c r="T83" i="1"/>
  <c r="T84" i="1"/>
  <c r="T85" i="1"/>
  <c r="T81" i="1"/>
  <c r="T76" i="1"/>
  <c r="T77" i="1"/>
  <c r="T71" i="1"/>
  <c r="T70" i="1"/>
  <c r="T69" i="1"/>
  <c r="T68" i="1"/>
  <c r="T67" i="1"/>
  <c r="W38" i="1"/>
  <c r="S80" i="1"/>
  <c r="S75" i="1"/>
  <c r="S72" i="1"/>
  <c r="S59" i="1"/>
  <c r="S58" i="1"/>
  <c r="S51" i="1"/>
  <c r="S45" i="1"/>
  <c r="T58" i="1"/>
  <c r="T62" i="1" s="1"/>
  <c r="T51" i="1"/>
  <c r="T45" i="1"/>
  <c r="T31" i="1"/>
  <c r="T29" i="1"/>
  <c r="L29" i="1"/>
  <c r="L26" i="1"/>
  <c r="L41" i="1" s="1"/>
  <c r="P29" i="1"/>
  <c r="P26" i="1"/>
  <c r="P41" i="1" s="1"/>
  <c r="K29" i="1"/>
  <c r="K26" i="1"/>
  <c r="K41" i="1" s="1"/>
  <c r="O42" i="1"/>
  <c r="N42" i="1"/>
  <c r="M42" i="1"/>
  <c r="L42" i="1"/>
  <c r="K42" i="1"/>
  <c r="J42" i="1"/>
  <c r="J29" i="1"/>
  <c r="J26" i="1"/>
  <c r="J41" i="1" s="1"/>
  <c r="N29" i="1"/>
  <c r="N26" i="1"/>
  <c r="N41" i="1" s="1"/>
  <c r="P2" i="1"/>
  <c r="X2" i="1" s="1"/>
  <c r="AB2" i="1" s="1"/>
  <c r="R42" i="1"/>
  <c r="P42" i="1"/>
  <c r="O31" i="1"/>
  <c r="R31" i="1" s="1"/>
  <c r="S31" i="1"/>
  <c r="S29" i="1"/>
  <c r="O29" i="1"/>
  <c r="O26" i="1"/>
  <c r="O41" i="1" s="1"/>
  <c r="AD142" i="1" l="1"/>
  <c r="Z128" i="1"/>
  <c r="Z142" i="1"/>
  <c r="W145" i="1"/>
  <c r="W127" i="1"/>
  <c r="U145" i="1"/>
  <c r="U127" i="1"/>
  <c r="V145" i="1"/>
  <c r="V127" i="1"/>
  <c r="AD130" i="1"/>
  <c r="AD144" i="1" s="1"/>
  <c r="BN86" i="1"/>
  <c r="BM78" i="1"/>
  <c r="L87" i="1"/>
  <c r="AC42" i="1"/>
  <c r="AC39" i="1"/>
  <c r="AB41" i="1"/>
  <c r="AB30" i="1"/>
  <c r="AB32" i="1" s="1"/>
  <c r="N86" i="1"/>
  <c r="BM80" i="1"/>
  <c r="BM86" i="1" s="1"/>
  <c r="N78" i="1"/>
  <c r="M87" i="1"/>
  <c r="R73" i="1"/>
  <c r="BN65" i="1"/>
  <c r="BN73" i="1" s="1"/>
  <c r="W87" i="1"/>
  <c r="N73" i="1"/>
  <c r="BM65" i="1"/>
  <c r="BM73" i="1" s="1"/>
  <c r="S73" i="1"/>
  <c r="Y72" i="1"/>
  <c r="X73" i="1"/>
  <c r="BM35" i="1"/>
  <c r="BM64" i="1"/>
  <c r="M64" i="1"/>
  <c r="Z144" i="1"/>
  <c r="P87" i="1"/>
  <c r="BP2" i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AD2" i="1"/>
  <c r="BX12" i="1"/>
  <c r="BY12" i="1"/>
  <c r="BM41" i="1"/>
  <c r="BX6" i="1"/>
  <c r="BY6" i="1"/>
  <c r="W30" i="1"/>
  <c r="W32" i="1" s="1"/>
  <c r="W34" i="1" s="1"/>
  <c r="W64" i="1" s="1"/>
  <c r="R75" i="1"/>
  <c r="R78" i="1" s="1"/>
  <c r="Q78" i="1"/>
  <c r="Q87" i="1" s="1"/>
  <c r="S44" i="1"/>
  <c r="S62" i="1"/>
  <c r="U71" i="1"/>
  <c r="V71" i="1" s="1"/>
  <c r="U76" i="1"/>
  <c r="V76" i="1" s="1"/>
  <c r="S86" i="1"/>
  <c r="U68" i="1"/>
  <c r="V68" i="1" s="1"/>
  <c r="U38" i="1"/>
  <c r="T72" i="1"/>
  <c r="U72" i="1" s="1"/>
  <c r="V72" i="1" s="1"/>
  <c r="T44" i="1"/>
  <c r="U67" i="1"/>
  <c r="U69" i="1"/>
  <c r="V69" i="1" s="1"/>
  <c r="U70" i="1"/>
  <c r="V70" i="1" s="1"/>
  <c r="U77" i="1"/>
  <c r="V77" i="1" s="1"/>
  <c r="U81" i="1"/>
  <c r="V81" i="1" s="1"/>
  <c r="U83" i="1"/>
  <c r="V83" i="1" s="1"/>
  <c r="BO31" i="1"/>
  <c r="Y75" i="1"/>
  <c r="Y78" i="1" s="1"/>
  <c r="BP17" i="1"/>
  <c r="BP24" i="1" s="1"/>
  <c r="S78" i="1"/>
  <c r="U85" i="1"/>
  <c r="V85" i="1" s="1"/>
  <c r="U84" i="1"/>
  <c r="V84" i="1" s="1"/>
  <c r="U82" i="1"/>
  <c r="V82" i="1" s="1"/>
  <c r="U44" i="1"/>
  <c r="Y39" i="1"/>
  <c r="Y42" i="1"/>
  <c r="X39" i="1"/>
  <c r="X41" i="1"/>
  <c r="X42" i="1"/>
  <c r="U93" i="1"/>
  <c r="Y38" i="1"/>
  <c r="S26" i="1"/>
  <c r="S41" i="1" s="1"/>
  <c r="T93" i="1"/>
  <c r="X38" i="1"/>
  <c r="Q42" i="1"/>
  <c r="X29" i="1"/>
  <c r="X30" i="1" s="1"/>
  <c r="X32" i="1" s="1"/>
  <c r="Y29" i="1"/>
  <c r="Y30" i="1" s="1"/>
  <c r="Y32" i="1" s="1"/>
  <c r="S54" i="1"/>
  <c r="V29" i="1"/>
  <c r="BO29" i="1" s="1"/>
  <c r="S38" i="1"/>
  <c r="T80" i="1"/>
  <c r="R39" i="1"/>
  <c r="T38" i="1"/>
  <c r="U39" i="1"/>
  <c r="T39" i="1"/>
  <c r="S39" i="1"/>
  <c r="Q38" i="1"/>
  <c r="Q39" i="1"/>
  <c r="T54" i="1"/>
  <c r="U54" i="1"/>
  <c r="T42" i="1"/>
  <c r="U42" i="1"/>
  <c r="S93" i="1"/>
  <c r="U26" i="1"/>
  <c r="T75" i="1"/>
  <c r="T78" i="1" s="1"/>
  <c r="S42" i="1"/>
  <c r="Q26" i="1"/>
  <c r="T26" i="1"/>
  <c r="L30" i="1"/>
  <c r="L32" i="1" s="1"/>
  <c r="L34" i="1" s="1"/>
  <c r="J30" i="1"/>
  <c r="J32" i="1" s="1"/>
  <c r="J34" i="1" s="1"/>
  <c r="P30" i="1"/>
  <c r="P32" i="1" s="1"/>
  <c r="P34" i="1" s="1"/>
  <c r="K30" i="1"/>
  <c r="K32" i="1" s="1"/>
  <c r="K34" i="1" s="1"/>
  <c r="N30" i="1"/>
  <c r="N32" i="1" s="1"/>
  <c r="N34" i="1" s="1"/>
  <c r="O30" i="1"/>
  <c r="O32" i="1" s="1"/>
  <c r="O34" i="1" s="1"/>
  <c r="X87" i="1" l="1"/>
  <c r="BO83" i="1"/>
  <c r="BM87" i="1"/>
  <c r="BO68" i="1"/>
  <c r="T73" i="1"/>
  <c r="U30" i="1"/>
  <c r="U32" i="1" s="1"/>
  <c r="U34" i="1" s="1"/>
  <c r="U41" i="1"/>
  <c r="AD42" i="1"/>
  <c r="BO71" i="1"/>
  <c r="T30" i="1"/>
  <c r="T32" i="1" s="1"/>
  <c r="T34" i="1" s="1"/>
  <c r="T35" i="1" s="1"/>
  <c r="T41" i="1"/>
  <c r="AB34" i="1"/>
  <c r="AC41" i="1"/>
  <c r="AC32" i="1"/>
  <c r="AC34" i="1" s="1"/>
  <c r="AC35" i="1" s="1"/>
  <c r="J35" i="1"/>
  <c r="J64" i="1"/>
  <c r="BO82" i="1"/>
  <c r="BO85" i="1"/>
  <c r="U80" i="1"/>
  <c r="U86" i="1" s="1"/>
  <c r="T86" i="1"/>
  <c r="V67" i="1"/>
  <c r="U73" i="1"/>
  <c r="N87" i="1"/>
  <c r="BO84" i="1"/>
  <c r="BO81" i="1"/>
  <c r="BO76" i="1"/>
  <c r="S87" i="1"/>
  <c r="BO69" i="1"/>
  <c r="BN75" i="1"/>
  <c r="BN78" i="1" s="1"/>
  <c r="BN87" i="1" s="1"/>
  <c r="BO77" i="1"/>
  <c r="BP75" i="1"/>
  <c r="BP78" i="1" s="1"/>
  <c r="Y73" i="1"/>
  <c r="BP72" i="1"/>
  <c r="BP73" i="1" s="1"/>
  <c r="BO72" i="1"/>
  <c r="BO70" i="1"/>
  <c r="R87" i="1"/>
  <c r="Z129" i="1"/>
  <c r="W35" i="1"/>
  <c r="S30" i="1"/>
  <c r="S32" i="1" s="1"/>
  <c r="S34" i="1" s="1"/>
  <c r="S64" i="1" s="1"/>
  <c r="O35" i="1"/>
  <c r="O64" i="1"/>
  <c r="N35" i="1"/>
  <c r="N64" i="1"/>
  <c r="K35" i="1"/>
  <c r="K64" i="1"/>
  <c r="P35" i="1"/>
  <c r="P64" i="1"/>
  <c r="L35" i="1"/>
  <c r="L64" i="1"/>
  <c r="BN38" i="1"/>
  <c r="Z29" i="1"/>
  <c r="BP27" i="1"/>
  <c r="Z42" i="1"/>
  <c r="Z39" i="1"/>
  <c r="Z41" i="1"/>
  <c r="Y41" i="1"/>
  <c r="Y34" i="1"/>
  <c r="Y64" i="1" s="1"/>
  <c r="X34" i="1"/>
  <c r="Q30" i="1"/>
  <c r="Q32" i="1" s="1"/>
  <c r="Q34" i="1" s="1"/>
  <c r="Q41" i="1"/>
  <c r="U75" i="1"/>
  <c r="U89" i="1" l="1"/>
  <c r="Y87" i="1"/>
  <c r="AB89" i="1"/>
  <c r="Z89" i="1"/>
  <c r="AA89" i="1"/>
  <c r="AB35" i="1"/>
  <c r="AB64" i="1"/>
  <c r="Z145" i="1"/>
  <c r="Z127" i="1"/>
  <c r="BP87" i="1"/>
  <c r="V80" i="1"/>
  <c r="V86" i="1" s="1"/>
  <c r="T87" i="1"/>
  <c r="AD41" i="1"/>
  <c r="AD30" i="1"/>
  <c r="AD32" i="1" s="1"/>
  <c r="S35" i="1"/>
  <c r="T64" i="1"/>
  <c r="V73" i="1"/>
  <c r="Y89" i="1" s="1"/>
  <c r="Y90" i="1" s="1"/>
  <c r="BO67" i="1"/>
  <c r="BO73" i="1" s="1"/>
  <c r="U78" i="1"/>
  <c r="U87" i="1" s="1"/>
  <c r="Q35" i="1"/>
  <c r="Q64" i="1"/>
  <c r="X35" i="1"/>
  <c r="X64" i="1"/>
  <c r="Y35" i="1"/>
  <c r="V75" i="1"/>
  <c r="V78" i="1" s="1"/>
  <c r="BP29" i="1"/>
  <c r="BP26" i="1"/>
  <c r="Z30" i="1"/>
  <c r="Z32" i="1" s="1"/>
  <c r="U35" i="1"/>
  <c r="U64" i="1"/>
  <c r="V89" i="1" l="1"/>
  <c r="Z90" i="1" s="1"/>
  <c r="W89" i="1"/>
  <c r="X89" i="1"/>
  <c r="AA90" i="1"/>
  <c r="AB90" i="1"/>
  <c r="V87" i="1"/>
  <c r="BO80" i="1"/>
  <c r="BO86" i="1" s="1"/>
  <c r="AD34" i="1"/>
  <c r="BO75" i="1"/>
  <c r="BO78" i="1" s="1"/>
  <c r="Z34" i="1"/>
  <c r="BP33" i="1"/>
  <c r="BQ29" i="1"/>
  <c r="BP41" i="1"/>
  <c r="BP30" i="1"/>
  <c r="BP32" i="1" s="1"/>
  <c r="BP25" i="1"/>
  <c r="BO26" i="1"/>
  <c r="V40" i="1"/>
  <c r="AD35" i="1" l="1"/>
  <c r="AD64" i="1"/>
  <c r="Z35" i="1"/>
  <c r="Z64" i="1"/>
  <c r="V93" i="1"/>
  <c r="W39" i="1"/>
  <c r="BS27" i="1"/>
  <c r="BP34" i="1"/>
  <c r="V38" i="1"/>
  <c r="Z38" i="1"/>
  <c r="V26" i="1"/>
  <c r="V39" i="1"/>
  <c r="V42" i="1"/>
  <c r="BP35" i="1" l="1"/>
  <c r="BP64" i="1"/>
  <c r="BP38" i="1"/>
  <c r="BT27" i="1"/>
  <c r="BS29" i="1"/>
  <c r="BO38" i="1"/>
  <c r="V30" i="1"/>
  <c r="V32" i="1" s="1"/>
  <c r="V34" i="1" s="1"/>
  <c r="V41" i="1"/>
  <c r="V35" i="1" l="1"/>
  <c r="V64" i="1"/>
  <c r="BO30" i="1"/>
  <c r="BO32" i="1" s="1"/>
  <c r="BO34" i="1" s="1"/>
  <c r="BO41" i="1"/>
  <c r="BU27" i="1"/>
  <c r="BT29" i="1"/>
  <c r="BO35" i="1" l="1"/>
  <c r="BO64" i="1"/>
  <c r="BO87" i="1"/>
  <c r="BV27" i="1"/>
  <c r="BV29" i="1" s="1"/>
  <c r="BU29" i="1"/>
  <c r="S144" i="1" l="1"/>
  <c r="R25" i="1" l="1"/>
  <c r="R26" i="1" s="1"/>
  <c r="R41" i="1" s="1"/>
  <c r="BN26" i="1"/>
  <c r="BN41" i="1" s="1"/>
  <c r="R27" i="1"/>
  <c r="R29" i="1" s="1"/>
  <c r="BN29" i="1"/>
  <c r="BN30" i="1" l="1"/>
  <c r="BN32" i="1" s="1"/>
  <c r="BN34" i="1" s="1"/>
  <c r="BN64" i="1" s="1"/>
  <c r="R30" i="1"/>
  <c r="R32" i="1" s="1"/>
  <c r="R34" i="1" s="1"/>
  <c r="R35" i="1" s="1"/>
  <c r="BN35" i="1" l="1"/>
  <c r="R64" i="1"/>
  <c r="BQ26" i="1" l="1"/>
  <c r="AA39" i="1"/>
  <c r="AA38" i="1"/>
  <c r="AB39" i="1"/>
  <c r="AA93" i="1"/>
  <c r="AA42" i="1"/>
  <c r="AA129" i="1"/>
  <c r="BQ38" i="1"/>
  <c r="AA145" i="1" l="1"/>
  <c r="AA127" i="1"/>
  <c r="AA41" i="1"/>
  <c r="BQ30" i="1"/>
  <c r="BQ32" i="1" s="1"/>
  <c r="BQ41" i="1"/>
  <c r="AA30" i="1"/>
  <c r="AA32" i="1" s="1"/>
  <c r="BQ25" i="1"/>
  <c r="BQ33" i="1" l="1"/>
  <c r="BQ34" i="1" s="1"/>
  <c r="BQ35" i="1" l="1"/>
  <c r="BT24" i="1"/>
  <c r="BS26" i="1"/>
  <c r="BS25" i="1" s="1"/>
  <c r="BS38" i="1"/>
  <c r="BR41" i="1"/>
  <c r="AA34" i="1"/>
  <c r="AA64" i="1" l="1"/>
  <c r="AA35" i="1"/>
  <c r="BT26" i="1"/>
  <c r="BT25" i="1" s="1"/>
  <c r="BU24" i="1"/>
  <c r="BT38" i="1"/>
  <c r="BS30" i="1"/>
  <c r="BS32" i="1" s="1"/>
  <c r="BS41" i="1"/>
  <c r="BS33" i="1" l="1"/>
  <c r="BS34" i="1" s="1"/>
  <c r="BU26" i="1"/>
  <c r="BU25" i="1" s="1"/>
  <c r="BV24" i="1"/>
  <c r="BW24" i="1" s="1"/>
  <c r="BX24" i="1" s="1"/>
  <c r="BY24" i="1" s="1"/>
  <c r="BZ24" i="1" s="1"/>
  <c r="BU38" i="1"/>
  <c r="BT30" i="1"/>
  <c r="BT32" i="1" s="1"/>
  <c r="BT41" i="1"/>
  <c r="BS35" i="1" l="1"/>
  <c r="BV38" i="1"/>
  <c r="BV26" i="1"/>
  <c r="BT33" i="1"/>
  <c r="BT34" i="1" s="1"/>
  <c r="BU30" i="1"/>
  <c r="BU32" i="1" s="1"/>
  <c r="BU41" i="1"/>
  <c r="BT35" i="1" l="1"/>
  <c r="BV30" i="1"/>
  <c r="BV32" i="1" s="1"/>
  <c r="BV41" i="1"/>
  <c r="BV25" i="1"/>
  <c r="BU33" i="1"/>
  <c r="BU34" i="1" s="1"/>
  <c r="BU35" i="1" s="1"/>
  <c r="BV33" i="1" l="1"/>
  <c r="BV34" i="1" s="1"/>
  <c r="BV35" i="1" l="1"/>
  <c r="BW34" i="1"/>
  <c r="BX34" i="1" l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CV34" i="1" s="1"/>
  <c r="CW34" i="1" s="1"/>
  <c r="CX34" i="1" s="1"/>
  <c r="CY34" i="1" s="1"/>
  <c r="CZ34" i="1" s="1"/>
  <c r="DA34" i="1" s="1"/>
  <c r="DB34" i="1" s="1"/>
  <c r="DC34" i="1" s="1"/>
  <c r="DD34" i="1" s="1"/>
  <c r="DE34" i="1" s="1"/>
  <c r="DF34" i="1" s="1"/>
  <c r="DG34" i="1" s="1"/>
  <c r="DH34" i="1" s="1"/>
  <c r="DI34" i="1" s="1"/>
  <c r="DJ34" i="1" s="1"/>
  <c r="DK34" i="1" s="1"/>
  <c r="DL34" i="1" s="1"/>
  <c r="DM34" i="1" s="1"/>
  <c r="DN34" i="1" s="1"/>
  <c r="DO34" i="1" s="1"/>
  <c r="DP34" i="1" s="1"/>
  <c r="DQ34" i="1" s="1"/>
  <c r="DR34" i="1" s="1"/>
  <c r="DS34" i="1" s="1"/>
  <c r="DT34" i="1" s="1"/>
  <c r="DU34" i="1" s="1"/>
  <c r="DV34" i="1" s="1"/>
  <c r="DW34" i="1" s="1"/>
  <c r="DX34" i="1" s="1"/>
  <c r="DY34" i="1" s="1"/>
  <c r="DZ34" i="1" s="1"/>
  <c r="EA34" i="1" s="1"/>
  <c r="EB34" i="1" s="1"/>
  <c r="EC34" i="1" s="1"/>
  <c r="ED34" i="1" s="1"/>
  <c r="EE34" i="1" s="1"/>
  <c r="EF34" i="1" s="1"/>
  <c r="EG34" i="1" s="1"/>
  <c r="EH34" i="1" s="1"/>
  <c r="EI34" i="1" s="1"/>
  <c r="EJ34" i="1" s="1"/>
  <c r="EK34" i="1" s="1"/>
  <c r="EL34" i="1" s="1"/>
  <c r="EM34" i="1" s="1"/>
  <c r="EN34" i="1" s="1"/>
  <c r="EO34" i="1" s="1"/>
  <c r="EP34" i="1" s="1"/>
  <c r="EQ34" i="1" s="1"/>
  <c r="ER34" i="1" s="1"/>
  <c r="ES34" i="1" s="1"/>
  <c r="ET34" i="1" s="1"/>
  <c r="EU34" i="1" s="1"/>
  <c r="EV34" i="1" s="1"/>
  <c r="EW34" i="1" s="1"/>
  <c r="EX34" i="1" s="1"/>
  <c r="EY34" i="1" s="1"/>
  <c r="EZ34" i="1" s="1"/>
  <c r="FA34" i="1" s="1"/>
  <c r="FB34" i="1" s="1"/>
  <c r="FC34" i="1" s="1"/>
  <c r="FD34" i="1" s="1"/>
  <c r="FE34" i="1" s="1"/>
  <c r="FF34" i="1" s="1"/>
  <c r="FG34" i="1" s="1"/>
  <c r="FH34" i="1" s="1"/>
  <c r="FI34" i="1" s="1"/>
  <c r="FJ34" i="1" s="1"/>
  <c r="FK34" i="1" s="1"/>
  <c r="FL34" i="1" s="1"/>
  <c r="FM34" i="1" s="1"/>
  <c r="FN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tc={250E49C1-DC6B-44A4-8507-21CC369BDF67}</author>
    <author>tc={E320785E-9BCE-AC4E-B37C-7EB104B6CF82}</author>
    <author>tc={AC62E1DD-5F48-4CE0-8635-05BA74B5AC99}</author>
    <author>tc={2165D505-0B46-44B7-8C69-AAD20A48D84E}</author>
    <author>tc={C2D17C36-71EE-44D1-BD93-5339CE250BCE}</author>
    <author>tc={DD04AD72-6E1B-4623-8D6F-85C70969715D}</author>
    <author>tc={3CFE94FA-5EAC-7E47-B7D3-031052D60B7C}</author>
    <author>tc={23E40331-82EE-794B-BF71-362AABD49EB0}</author>
    <author>tc={7661685F-D234-EE4D-9EE3-823EB4FBA0E2}</author>
    <author>tc={195B7556-9D37-2C4A-AE00-5F1730A1F989}</author>
    <author>tc={ABEADC1D-5EB0-4C3F-94A3-CDCB9F5F27A0}</author>
    <author>tc={4E6E582A-C13D-49BC-B7B1-29F955B3A8F8}</author>
    <author>tc={797E6991-901E-44BC-97CB-E306AC374116}</author>
    <author>tc={5C4B539B-3737-41A2-ACD8-5457F543DF7D}</author>
    <author>tc={0AFD1808-6C0F-4C3F-9836-027F1D0FF106}</author>
    <author>tc={48933EFE-5C5F-49EA-A80E-E765DE830619}</author>
    <author>tc={BDF99649-FFA5-4806-8F0A-EDE5EB314212}</author>
    <author>tc={376D0D5F-A54E-4DA1-8A5D-909D95A4D2DC}</author>
    <author>tc={C4161604-068E-403C-8969-C0DB69A9249B}</author>
    <author>tc={F38BD4BC-6CC4-4D9A-94D6-8E357C694F6D}</author>
    <author>tc={7B1B7AAE-6DE3-4B6E-AED6-35A4E46A2D33}</author>
    <author>tc={4E056475-A7E3-43D8-B802-93813DACE25F}</author>
    <author>tc={472BDDD3-4E0A-4C08-8760-ABFC4732C8A2}</author>
    <author>tc={63238D4C-CE84-4838-9552-C1CFED1CB057}</author>
    <author>tc={E0BD4732-6672-4A8E-98DD-D80F8291DB33}</author>
    <author>tc={250CB3BC-420E-44BF-AC5C-6793B6001B85}</author>
    <author>tc={BD911E99-9212-4EF4-8813-69E92C9CA73A}</author>
    <author>tc={5BA76EC3-8C9B-47F0-9FDC-F22595796871}</author>
    <author>tc={14970EBD-D16F-43B3-AC0D-F662CDAE4F87}</author>
    <author>tc={DD0672ED-71A7-4FEE-8963-AC8C3EB46492}</author>
    <author>tc={E135F8C4-952E-4ED7-BF9D-C71E486C0EE2}</author>
    <author>tc={1DF99399-1918-4E2C-8279-9C2FF687E1E3}</author>
    <author>tc={1446D5A2-75F4-49C0-818F-A506FFEEE2AC}</author>
    <author>tc={1DF5EE39-C8FB-4475-8FE7-ADC6D1CD4618}</author>
    <author>tc={DD2CD9F0-4D52-41A1-9318-3FB1FCEC2AD9}</author>
    <author>tc={FCB5C1B5-F411-4AA0-8552-6396ACF5C382}</author>
    <author>tc={63A90EF7-3038-4F3C-97B2-466FDABC5E09}</author>
    <author>tc={C63606EF-04FE-45D8-9244-916E253074AB}</author>
    <author>tc={8AC347C9-DB8B-48B0-AA14-D262027A155D}</author>
    <author>tc={EE73B09E-2677-450F-B8B1-9A119FB6CC0B}</author>
    <author>tc={97838103-F970-4B17-BAA4-B0F2ADACFA86}</author>
    <author>tc={FB8A1EF9-0129-43D9-BD4D-E70349E6A7E0}</author>
    <author>tc={D5B65222-64AF-4587-989D-4D4267FB62AC}</author>
  </authors>
  <commentList>
    <comment ref="AB21" authorId="0" shapeId="0" xr:uid="{250E49C1-DC6B-44A4-8507-21CC369BDF67}">
      <text>
        <t>[Threaded comment]
Your version of Excel allows you to read this threaded comment; however, any edits to it will get removed if the file is opened in a newer version of Excel. Learn more: https://go.microsoft.com/fwlink/?linkid=870924
Comment:
    $650m H20
Sequential increase in H100/H200</t>
      </text>
    </comment>
    <comment ref="S22" authorId="1" shapeId="0" xr:uid="{E320785E-9BCE-AC4E-B37C-7EB104B6CF82}">
      <text>
        <t>[Threaded comment]
Your version of Excel allows you to read this threaded comment; however, any edits to it will get removed if the file is opened in a newer version of Excel. Learn more: https://go.microsoft.com/fwlink/?linkid=870924
Comment:
    H100 started shipping</t>
      </text>
    </comment>
    <comment ref="Z22" authorId="2" shapeId="0" xr:uid="{AC62E1DD-5F48-4CE0-8635-05BA74B5AC99}">
      <text>
        <t>[Threaded comment]
Your version of Excel allows you to read this threaded comment; however, any edits to it will get removed if the file is opened in a newer version of Excel. Learn more: https://go.microsoft.com/fwlink/?linkid=870924
Comment:
    Blackwell will sell several billion
Blackwall product ramp starts</t>
      </text>
    </comment>
    <comment ref="AB22" authorId="3" shapeId="0" xr:uid="{2165D505-0B46-44B7-8C69-AAD20A48D84E}">
      <text>
        <t>[Threaded comment]
Your version of Excel allows you to read this threaded comment; however, any edits to it will get removed if the file is opened in a newer version of Excel. Learn more: https://go.microsoft.com/fwlink/?linkid=870924
Comment:
    4B H20 decline
Blackwell +17% q/q
GB300 shipments began</t>
      </text>
    </comment>
    <comment ref="D24" authorId="4" shapeId="0" xr:uid="{C2D17C36-71EE-44D1-BD93-5339CE250BCE}">
      <text>
        <t>[Threaded comment]
Your version of Excel allows you to read this threaded comment; however, any edits to it will get removed if the file is opened in a newer version of Excel. Learn more: https://go.microsoft.com/fwlink/?linkid=870924
Comment:
    2889m if Mellanox combined</t>
      </text>
    </comment>
    <comment ref="E24" authorId="5" shapeId="0" xr:uid="{DD04AD72-6E1B-4623-8D6F-85C70969715D}">
      <text>
        <t>[Threaded comment]
Your version of Excel allows you to read this threaded comment; however, any edits to it will get removed if the file is opened in a newer version of Excel. Learn more: https://go.microsoft.com/fwlink/?linkid=870924
Comment:
    3350m if Mellanox were combined</t>
      </text>
    </comment>
    <comment ref="S24" authorId="6" shapeId="0" xr:uid="{3CFE94FA-5EAC-7E47-B7D3-031052D60B7C}">
      <text>
        <t>[Threaded comment]
Your version of Excel allows you to read this threaded comment; however, any edits to it will get removed if the file is opened in a newer version of Excel. Learn more: https://go.microsoft.com/fwlink/?linkid=870924
Comment:
    6.5B guidance</t>
      </text>
    </comment>
    <comment ref="T24" authorId="7" shapeId="0" xr:uid="{23E40331-82EE-794B-BF71-362AABD49EB0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 was 11B</t>
      </text>
    </comment>
    <comment ref="U24" authorId="8" shapeId="0" xr:uid="{7661685F-D234-EE4D-9EE3-823EB4FBA0E2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 was 16B</t>
      </text>
    </comment>
    <comment ref="W24" authorId="9" shapeId="0" xr:uid="{195B7556-9D37-2C4A-AE00-5F1730A1F98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20.570B
2/21/24 guided to 23.52-24.48B</t>
      </text>
    </comment>
    <comment ref="X24" authorId="10" shapeId="0" xr:uid="{ABEADC1D-5EB0-4C3F-94A3-CDCB9F5F27A0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Guidance: 28000</t>
      </text>
    </comment>
    <comment ref="Y24" authorId="11" shapeId="0" xr:uid="{4E6E582A-C13D-49BC-B7B1-29F955B3A8F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31.7</t>
      </text>
    </comment>
    <comment ref="Z24" authorId="12" shapeId="0" xr:uid="{797E6991-901E-44BC-97CB-E306AC374116}">
      <text>
        <t>[Threaded comment]
Your version of Excel allows you to read this threaded comment; however, any edits to it will get removed if the file is opened in a newer version of Excel. Learn more: https://go.microsoft.com/fwlink/?linkid=870924
Comment:
    38250 consensus</t>
      </text>
    </comment>
    <comment ref="AA24" authorId="13" shapeId="0" xr:uid="{5C4B539B-3737-41A2-ACD8-5457F543DF7D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43B +- 2%
42.26B consensus, moved up to 43.34B</t>
      </text>
    </comment>
    <comment ref="AB24" authorId="14" shapeId="0" xr:uid="{0AFD1808-6C0F-4C3F-9836-027F1D0FF106}">
      <text>
        <t>[Threaded comment]
Your version of Excel allows you to read this threaded comment; however, any edits to it will get removed if the file is opened in a newer version of Excel. Learn more: https://go.microsoft.com/fwlink/?linkid=870924
Comment:
    45.92B consensus 5/28/25
46.05B consensus 8/27/25</t>
      </text>
    </comment>
    <comment ref="AC24" authorId="15" shapeId="0" xr:uid="{48933EFE-5C5F-49EA-A80E-E765DE830619}">
      <text>
        <t>[Threaded comment]
Your version of Excel allows you to read this threaded comment; however, any edits to it will get removed if the file is opened in a newer version of Excel. Learn more: https://go.microsoft.com/fwlink/?linkid=870924
Comment:
    51.75B consensus 5/28/25
53.43B consensus 8/27/25
54.90B consensus 11/19/25
Q2 guidance: 54B +/- 2%</t>
      </text>
    </comment>
    <comment ref="AD24" authorId="16" shapeId="0" xr:uid="{BDF99649-FFA5-4806-8F0A-EDE5EB314212}">
      <text>
        <t>[Threaded comment]
Your version of Excel allows you to read this threaded comment; however, any edits to it will get removed if the file is opened in a newer version of Excel. Learn more: https://go.microsoft.com/fwlink/?linkid=870924
Comment:
    57.23B consensus 5/28/25
62.17B consensus 11/19/25
66.13B consensus 2/25/26
Q326 guidance: 65B +/- 2%</t>
      </text>
    </comment>
    <comment ref="AE24" authorId="17" shapeId="0" xr:uid="{376D0D5F-A54E-4DA1-8A5D-909D95A4D2DC}">
      <text>
        <t>[Threaded comment]
Your version of Excel allows you to read this threaded comment; however, any edits to it will get removed if the file is opened in a newer version of Excel. Learn more: https://go.microsoft.com/fwlink/?linkid=870924
Comment:
    2/25/26 consensus: 72.930
Q426 guidance: $78B</t>
      </text>
    </comment>
    <comment ref="AF24" authorId="18" shapeId="0" xr:uid="{C4161604-068E-403C-8969-C0DB69A9249B}">
      <text>
        <t>[Threaded comment]
Your version of Excel allows you to read this threaded comment; however, any edits to it will get removed if the file is opened in a newer version of Excel. Learn more: https://go.microsoft.com/fwlink/?linkid=870924
Comment:
    2/25/26 consensus: 80310</t>
      </text>
    </comment>
    <comment ref="AG24" authorId="19" shapeId="0" xr:uid="{F38BD4BC-6CC4-4D9A-94D6-8E357C694F6D}">
      <text>
        <t>[Threaded comment]
Your version of Excel allows you to read this threaded comment; however, any edits to it will get removed if the file is opened in a newer version of Excel. Learn more: https://go.microsoft.com/fwlink/?linkid=870924
Comment:
    2/25/26 consensus: 90360</t>
      </text>
    </comment>
    <comment ref="AH24" authorId="20" shapeId="0" xr:uid="{7B1B7AAE-6DE3-4B6E-AED6-35A4E46A2D33}">
      <text>
        <t>[Threaded comment]
Your version of Excel allows you to read this threaded comment; however, any edits to it will get removed if the file is opened in a newer version of Excel. Learn more: https://go.microsoft.com/fwlink/?linkid=870924
Comment:
    2/25/26 consensus: 98700</t>
      </text>
    </comment>
    <comment ref="BQ24" authorId="21" shapeId="0" xr:uid="{4E056475-A7E3-43D8-B802-93813DACE25F}">
      <text>
        <t>[Threaded comment]
Your version of Excel allows you to read this threaded comment; however, any edits to it will get removed if the file is opened in a newer version of Excel. Learn more: https://go.microsoft.com/fwlink/?linkid=870924
Comment:
    196490 consensus</t>
      </text>
    </comment>
    <comment ref="BR24" authorId="22" shapeId="0" xr:uid="{472BDDD3-4E0A-4C08-8760-ABFC4732C8A2}">
      <text>
        <t>[Threaded comment]
Your version of Excel allows you to read this threaded comment; however, any edits to it will get removed if the file is opened in a newer version of Excel. Learn more: https://go.microsoft.com/fwlink/?linkid=870924
Comment:
    247.91B consensus 5/28/25
279.87B consensus 10/28/25</t>
      </text>
    </comment>
    <comment ref="X132" authorId="23" shapeId="0" xr:uid="{63238D4C-CE84-4838-9552-C1CFED1CB057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6B Series B</t>
      </text>
    </comment>
    <comment ref="Z132" authorId="24" shapeId="0" xr:uid="{E0BD4732-6672-4A8E-98DD-D80F8291DB33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6B Series C</t>
      </text>
    </comment>
    <comment ref="AB132" authorId="25" shapeId="0" xr:uid="{250CB3BC-420E-44BF-AC5C-6793B6001B85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10.3B, 5.3B equity, 5.0B debt</t>
      </text>
    </comment>
    <comment ref="Y133" authorId="26" shapeId="0" xr:uid="{BD911E99-9212-4EF4-8813-69E92C9CA73A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$4B from Amazon</t>
      </text>
    </comment>
    <comment ref="Z133" authorId="27" shapeId="0" xr:uid="{5BA76EC3-8C9B-47F0-9FDC-F22595796871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$1B from Google</t>
      </text>
    </comment>
    <comment ref="AA133" authorId="28" shapeId="0" xr:uid="{14970EBD-D16F-43B3-AC0D-F662CDAE4F87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6B: 3.5B Series E, 2.5B debt</t>
      </text>
    </comment>
    <comment ref="Z137" authorId="29" shapeId="0" xr:uid="{DD0672ED-71A7-4FEE-8963-AC8C3EB46492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10.6B in equity/debt</t>
      </text>
    </comment>
    <comment ref="AA137" authorId="30" shapeId="0" xr:uid="{E135F8C4-952E-4ED7-BF9D-C71E486C0EE2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40B from SoftBank/others</t>
      </text>
    </comment>
    <comment ref="C152" authorId="31" shapeId="0" xr:uid="{1DF99399-1918-4E2C-8279-9C2FF687E1E3}">
      <text>
        <t>[Threaded comment]
Your version of Excel allows you to read this threaded comment; however, any edits to it will get removed if the file is opened in a newer version of Excel. Learn more: https://go.microsoft.com/fwlink/?linkid=870924
Comment:
    133m Other, 249m EU, 422m Other APAC</t>
      </text>
    </comment>
    <comment ref="D152" authorId="32" shapeId="0" xr:uid="{1446D5A2-75F4-49C0-818F-A506FFEEE2AC}">
      <text>
        <t>[Threaded comment]
Your version of Excel allows you to read this threaded comment; however, any edits to it will get removed if the file is opened in a newer version of Excel. Learn more: https://go.microsoft.com/fwlink/?linkid=870924
Comment:
    129m other, 288m EU, 756m other APAC</t>
      </text>
    </comment>
    <comment ref="E152" authorId="33" shapeId="0" xr:uid="{1DF5EE39-C8FB-4475-8FE7-ADC6D1CD4618}">
      <text>
        <t>[Threaded comment]
Your version of Excel allows you to read this threaded comment; however, any edits to it will get removed if the file is opened in a newer version of Excel. Learn more: https://go.microsoft.com/fwlink/?linkid=870924
Comment:
    216m EU, 161m other, 805m Other APAC</t>
      </text>
    </comment>
    <comment ref="G152" authorId="34" shapeId="0" xr:uid="{DD2CD9F0-4D52-41A1-9318-3FB1FCEC2AD9}">
      <text>
        <t>[Threaded comment]
Your version of Excel allows you to read this threaded comment; however, any edits to it will get removed if the file is opened in a newer version of Excel. Learn more: https://go.microsoft.com/fwlink/?linkid=870924
Comment:
    151m Other, 254m EU, 607m Other APAC</t>
      </text>
    </comment>
    <comment ref="H152" authorId="35" shapeId="0" xr:uid="{FCB5C1B5-F411-4AA0-8552-6396ACF5C382}">
      <text>
        <t>[Threaded comment]
Your version of Excel allows you to read this threaded comment; however, any edits to it will get removed if the file is opened in a newer version of Excel. Learn more: https://go.microsoft.com/fwlink/?linkid=870924
Comment:
    240m EU, 175m Other, 698m Other APAC</t>
      </text>
    </comment>
    <comment ref="I152" authorId="36" shapeId="0" xr:uid="{63A90EF7-3038-4F3C-97B2-466FDABC5E09}">
      <text>
        <t>[Threaded comment]
Your version of Excel allows you to read this threaded comment; however, any edits to it will get removed if the file is opened in a newer version of Excel. Learn more: https://go.microsoft.com/fwlink/?linkid=870924
Comment:
    Europe 247m, Other APAC 955m, Other 225m</t>
      </text>
    </comment>
    <comment ref="J152" authorId="37" shapeId="0" xr:uid="{C63606EF-04FE-45D8-9244-916E253074AB}">
      <text>
        <t>[Threaded comment]
Your version of Excel allows you to read this threaded comment; however, any edits to it will get removed if the file is opened in a newer version of Excel. Learn more: https://go.microsoft.com/fwlink/?linkid=870924
Comment:
    TTM EU 1118m, Other APAC 3093m, Other 833m</t>
      </text>
    </comment>
    <comment ref="O152" authorId="38" shapeId="0" xr:uid="{8AC347C9-DB8B-48B0-AA14-D262027A155D}">
      <text>
        <t>[Threaded comment]
Your version of Excel allows you to read this threaded comment; however, any edits to it will get removed if the file is opened in a newer version of Excel. Learn more: https://go.microsoft.com/fwlink/?linkid=870924
Comment:
    454m Singapore</t>
      </text>
    </comment>
    <comment ref="Q152" authorId="39" shapeId="0" xr:uid="{EE73B09E-2677-450F-B8B1-9A119FB6CC0B}">
      <text>
        <t>[Threaded comment]
Your version of Excel allows you to read this threaded comment; however, any edits to it will get removed if the file is opened in a newer version of Excel. Learn more: https://go.microsoft.com/fwlink/?linkid=870924
Comment:
    536m Singapore</t>
      </text>
    </comment>
    <comment ref="R152" authorId="40" shapeId="0" xr:uid="{97838103-F970-4B17-BAA4-B0F2ADACFA86}">
      <text>
        <t>[Threaded comment]
Your version of Excel allows you to read this threaded comment; however, any edits to it will get removed if the file is opened in a newer version of Excel. Learn more: https://go.microsoft.com/fwlink/?linkid=870924
Comment:
    2288m Singapore (Q4+Q2)</t>
      </text>
    </comment>
    <comment ref="BJ152" authorId="41" shapeId="0" xr:uid="{FB8A1EF9-0129-43D9-BD4D-E70349E6A7E0}">
      <text>
        <t>[Threaded comment]
Your version of Excel allows you to read this threaded comment; however, any edits to it will get removed if the file is opened in a newer version of Excel. Learn more: https://go.microsoft.com/fwlink/?linkid=870924
Comment:
    2368m Other APAC, 914m EU, 767m Other</t>
      </text>
    </comment>
    <comment ref="BK152" authorId="42" shapeId="0" xr:uid="{D5B65222-64AF-4587-989D-4D4267FB62AC}">
      <text>
        <t>[Threaded comment]
Your version of Excel allows you to read this threaded comment; however, any edits to it will get removed if the file is opened in a newer version of Excel. Learn more: https://go.microsoft.com/fwlink/?linkid=870924
Comment:
    2685m Other APAC, 992m EU, 599m Other</t>
      </text>
    </comment>
  </commentList>
</comments>
</file>

<file path=xl/sharedStrings.xml><?xml version="1.0" encoding="utf-8"?>
<sst xmlns="http://schemas.openxmlformats.org/spreadsheetml/2006/main" count="303" uniqueCount="276">
  <si>
    <t>Main</t>
  </si>
  <si>
    <t>Revenue</t>
  </si>
  <si>
    <t>Operating Income</t>
  </si>
  <si>
    <t>Operating Expenses</t>
  </si>
  <si>
    <t>COGS</t>
  </si>
  <si>
    <t>Gross Margin</t>
  </si>
  <si>
    <t>R&amp;D</t>
  </si>
  <si>
    <t>SG&amp;A</t>
  </si>
  <si>
    <t>Net Income</t>
  </si>
  <si>
    <t>Taxes</t>
  </si>
  <si>
    <t>Pretax Income</t>
  </si>
  <si>
    <t>Interest</t>
  </si>
  <si>
    <t>EPS</t>
  </si>
  <si>
    <t>Shares</t>
  </si>
  <si>
    <t>Q123</t>
  </si>
  <si>
    <t>Q223</t>
  </si>
  <si>
    <t>Q323</t>
  </si>
  <si>
    <t>Q423</t>
  </si>
  <si>
    <t>Q124</t>
  </si>
  <si>
    <t>Gaming</t>
  </si>
  <si>
    <t>Visualization</t>
  </si>
  <si>
    <t>Automotive</t>
  </si>
  <si>
    <t>Data Center</t>
  </si>
  <si>
    <t>Q422</t>
  </si>
  <si>
    <t>Data Center %</t>
  </si>
  <si>
    <t>Q224</t>
  </si>
  <si>
    <t>Q122</t>
  </si>
  <si>
    <t>Q222</t>
  </si>
  <si>
    <t>Q322</t>
  </si>
  <si>
    <t>Q421</t>
  </si>
  <si>
    <t>L+SE</t>
  </si>
  <si>
    <t>SE</t>
  </si>
  <si>
    <t>OLTL</t>
  </si>
  <si>
    <t>Leases</t>
  </si>
  <si>
    <t>Debt</t>
  </si>
  <si>
    <t>AL</t>
  </si>
  <si>
    <t>AP</t>
  </si>
  <si>
    <t>Assets</t>
  </si>
  <si>
    <t>Cash</t>
  </si>
  <si>
    <t>AR</t>
  </si>
  <si>
    <t>Inventories</t>
  </si>
  <si>
    <t>Prepaids</t>
  </si>
  <si>
    <t>PP&amp;E</t>
  </si>
  <si>
    <t>Lease</t>
  </si>
  <si>
    <t>Goodwill</t>
  </si>
  <si>
    <t>OA</t>
  </si>
  <si>
    <t>Other</t>
  </si>
  <si>
    <t>Q324</t>
  </si>
  <si>
    <t>Q424</t>
  </si>
  <si>
    <t>Q125</t>
  </si>
  <si>
    <t>Q225</t>
  </si>
  <si>
    <t>Q325</t>
  </si>
  <si>
    <t>Q425</t>
  </si>
  <si>
    <t>SBC</t>
  </si>
  <si>
    <t>CFFO</t>
  </si>
  <si>
    <t>D&amp;A</t>
  </si>
  <si>
    <t>Investments</t>
  </si>
  <si>
    <t>DT</t>
  </si>
  <si>
    <t>WC</t>
  </si>
  <si>
    <t>Securities</t>
  </si>
  <si>
    <t>CapEx</t>
  </si>
  <si>
    <t>Acquisitions</t>
  </si>
  <si>
    <t>CFFI</t>
  </si>
  <si>
    <t>CIC</t>
  </si>
  <si>
    <t>CFFF</t>
  </si>
  <si>
    <t>ESOP</t>
  </si>
  <si>
    <t>RSUs</t>
  </si>
  <si>
    <t>Dividends</t>
  </si>
  <si>
    <t>PP&amp;E payments</t>
  </si>
  <si>
    <t>Buyback</t>
  </si>
  <si>
    <t>DSO</t>
  </si>
  <si>
    <t>Revenue y/y</t>
  </si>
  <si>
    <t>Revenue q/q</t>
  </si>
  <si>
    <t>Data Center q/q</t>
  </si>
  <si>
    <t>H100 volume</t>
  </si>
  <si>
    <t>H100 ASP</t>
  </si>
  <si>
    <t>Meta</t>
  </si>
  <si>
    <t>Google</t>
  </si>
  <si>
    <t>OpenAI</t>
  </si>
  <si>
    <t>Microsoft</t>
  </si>
  <si>
    <t>Character.ai</t>
  </si>
  <si>
    <t>AWS</t>
  </si>
  <si>
    <t>Lambda</t>
  </si>
  <si>
    <t>Coreweave</t>
  </si>
  <si>
    <t>Baidu</t>
  </si>
  <si>
    <t>Academics</t>
  </si>
  <si>
    <t>Government</t>
  </si>
  <si>
    <t>GCP</t>
  </si>
  <si>
    <t>Azure</t>
  </si>
  <si>
    <t>Amazon AI</t>
  </si>
  <si>
    <t>Tencent</t>
  </si>
  <si>
    <t>Anthropic</t>
  </si>
  <si>
    <t>Bytedance</t>
  </si>
  <si>
    <t>Oracle</t>
  </si>
  <si>
    <t>IBM</t>
  </si>
  <si>
    <t>Total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</si>
  <si>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</si>
  <si>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</si>
  <si>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</si>
  <si>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</si>
  <si>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</si>
  <si>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</si>
  <si>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</si>
  <si>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</si>
  <si>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</si>
  <si>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</si>
  <si>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</si>
  <si>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</si>
  <si>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</si>
  <si>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</si>
  <si>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</si>
  <si>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</si>
  <si>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Price</t>
  </si>
  <si>
    <t>MC</t>
  </si>
  <si>
    <t>EV</t>
  </si>
  <si>
    <t>2012: AlexNet</t>
  </si>
  <si>
    <t>2006: CUDA</t>
  </si>
  <si>
    <t>2017: first Tensor Core GPU</t>
  </si>
  <si>
    <t>H100</t>
  </si>
  <si>
    <t>A100</t>
  </si>
  <si>
    <t>V100</t>
  </si>
  <si>
    <t>4090</t>
  </si>
  <si>
    <t>Clara</t>
  </si>
  <si>
    <t>Healthcare</t>
  </si>
  <si>
    <t>Omniverse</t>
  </si>
  <si>
    <t>DRIVE</t>
  </si>
  <si>
    <t>Autonomous Driving</t>
  </si>
  <si>
    <t>Industrial</t>
  </si>
  <si>
    <t>Consumer</t>
  </si>
  <si>
    <t>Server</t>
  </si>
  <si>
    <t>Name</t>
  </si>
  <si>
    <t>1993: Founded in Santa Clara, California.</t>
  </si>
  <si>
    <t>Quantum</t>
  </si>
  <si>
    <t>InfiniBand</t>
  </si>
  <si>
    <t>Spectrum</t>
  </si>
  <si>
    <t>Ethernet</t>
  </si>
  <si>
    <t>Jetson</t>
  </si>
  <si>
    <t>DGX</t>
  </si>
  <si>
    <t>GeForce NOW</t>
  </si>
  <si>
    <t>Wafers</t>
  </si>
  <si>
    <t>TSMC, Samsung</t>
  </si>
  <si>
    <t>Memory</t>
  </si>
  <si>
    <t>Micron, SK Hynix, Samsung</t>
  </si>
  <si>
    <t>Assembly</t>
  </si>
  <si>
    <t>Hon Hai, Wistron, Fabrinet</t>
  </si>
  <si>
    <t>Consensus 5/21/24 - EPS</t>
  </si>
  <si>
    <t>Consensus 5/21/24 - Revenue</t>
  </si>
  <si>
    <t>Q1 Revenue</t>
  </si>
  <si>
    <t>Consensus</t>
  </si>
  <si>
    <t>Low End Guidance</t>
  </si>
  <si>
    <t>High End Guidance</t>
  </si>
  <si>
    <t>Reactions</t>
  </si>
  <si>
    <t>Q2 Guidance</t>
  </si>
  <si>
    <t>Current Price</t>
  </si>
  <si>
    <t>955 CALL</t>
  </si>
  <si>
    <t>955 PUT</t>
  </si>
  <si>
    <t>STRADDLE</t>
  </si>
  <si>
    <t>40% of Data Center revenue was for Inference</t>
  </si>
  <si>
    <t>"Large Cloud"</t>
  </si>
  <si>
    <t>Compute &amp; Networking</t>
  </si>
  <si>
    <t>Graphics</t>
  </si>
  <si>
    <t>Net Cash</t>
  </si>
  <si>
    <t>Tesla/X</t>
  </si>
  <si>
    <t>Discount</t>
  </si>
  <si>
    <t>NPV</t>
  </si>
  <si>
    <t>Terminal</t>
  </si>
  <si>
    <t>Spectrum-X outperforms Ethernet as networking fabric, will be multi-billion product</t>
  </si>
  <si>
    <t>"Sov AI revenue will reach low double digit billions in FY25"</t>
  </si>
  <si>
    <t xml:space="preserve">  Compute</t>
  </si>
  <si>
    <t xml:space="preserve">  Networking</t>
  </si>
  <si>
    <t>Q321</t>
  </si>
  <si>
    <t>Model NI</t>
  </si>
  <si>
    <t>Acquisition Termination</t>
  </si>
  <si>
    <t>Founded</t>
  </si>
  <si>
    <t>Reported NI</t>
  </si>
  <si>
    <t>Q121</t>
  </si>
  <si>
    <t>Q221</t>
  </si>
  <si>
    <t>FY18</t>
  </si>
  <si>
    <t>FY17</t>
  </si>
  <si>
    <t>FY16</t>
  </si>
  <si>
    <t>FY15</t>
  </si>
  <si>
    <t>FY14</t>
  </si>
  <si>
    <t>FY13</t>
  </si>
  <si>
    <t>FY12</t>
  </si>
  <si>
    <t>FY11</t>
  </si>
  <si>
    <t>Robotics</t>
  </si>
  <si>
    <t>AGI</t>
  </si>
  <si>
    <t>AV</t>
  </si>
  <si>
    <t xml:space="preserve">  Robots</t>
  </si>
  <si>
    <t xml:space="preserve">  Chip Cost</t>
  </si>
  <si>
    <t xml:space="preserve">  Autonomous Vehicles</t>
  </si>
  <si>
    <t>Q126</t>
  </si>
  <si>
    <t>Q226</t>
  </si>
  <si>
    <t>Q326</t>
  </si>
  <si>
    <t>Q426</t>
  </si>
  <si>
    <t>xAI</t>
  </si>
  <si>
    <t>MSFT CapEx</t>
  </si>
  <si>
    <t>GOOG CapEx</t>
  </si>
  <si>
    <t>AMZN CapEx</t>
  </si>
  <si>
    <t>Top Players Raised+CapEx</t>
  </si>
  <si>
    <t>CoreWeave</t>
  </si>
  <si>
    <t>Meta CapEx</t>
  </si>
  <si>
    <t>Oracle CapEx</t>
  </si>
  <si>
    <t>Data Center/Capital</t>
  </si>
  <si>
    <t>Revenue/Capital</t>
  </si>
  <si>
    <t>Q4 Consensus</t>
  </si>
  <si>
    <t>Q1 Consensus</t>
  </si>
  <si>
    <t>Stock Price</t>
  </si>
  <si>
    <t>Expected Move</t>
  </si>
  <si>
    <t>132 CALLS</t>
  </si>
  <si>
    <t>132 PUTS</t>
  </si>
  <si>
    <t>Premium</t>
  </si>
  <si>
    <t>Loss</t>
  </si>
  <si>
    <t>125 PUTS</t>
  </si>
  <si>
    <t>139 CALLS</t>
  </si>
  <si>
    <t>GLOBE NEWSWIRE</t>
  </si>
  <si>
    <t>FY35</t>
  </si>
  <si>
    <t>Consensus 4/25/25 - Revenue</t>
  </si>
  <si>
    <t>Consensus 4/25/25 - EPS</t>
  </si>
  <si>
    <t>US</t>
  </si>
  <si>
    <t>Taiwan</t>
  </si>
  <si>
    <t>Singapore</t>
  </si>
  <si>
    <t>China</t>
  </si>
  <si>
    <t>2/8/22: Arm deal terminated with SoftBank.</t>
  </si>
  <si>
    <t>4/27/2020: Mellanox acquisition: $7.1B.</t>
  </si>
  <si>
    <t>9/13/2020: Announced Arm deal for $40B.</t>
  </si>
  <si>
    <t>Q120</t>
  </si>
  <si>
    <t>Q220</t>
  </si>
  <si>
    <t>Q320</t>
  </si>
  <si>
    <t>Q420</t>
  </si>
  <si>
    <t>FY10</t>
  </si>
  <si>
    <t>FY09</t>
  </si>
  <si>
    <t>FY08</t>
  </si>
  <si>
    <t>FY07</t>
  </si>
  <si>
    <t>FY06</t>
  </si>
  <si>
    <t>FY05</t>
  </si>
  <si>
    <t>FY04</t>
  </si>
  <si>
    <t>FY03</t>
  </si>
  <si>
    <t>FY02</t>
  </si>
  <si>
    <t>FY01</t>
  </si>
  <si>
    <t>FY00</t>
  </si>
  <si>
    <t>Rubin</t>
  </si>
  <si>
    <t>B100</t>
  </si>
  <si>
    <t>R100</t>
  </si>
  <si>
    <t>250-300</t>
  </si>
  <si>
    <t>TDP</t>
  </si>
  <si>
    <t>taped out June 2025, next version taping out in September?</t>
  </si>
  <si>
    <t>limited 2026</t>
  </si>
  <si>
    <t>MI450 - upcoming AMD chip, Broadcom chip, OpenAI chip</t>
  </si>
  <si>
    <t>Forecast</t>
  </si>
  <si>
    <t>Diff</t>
  </si>
  <si>
    <t>B300</t>
  </si>
  <si>
    <t>B200 (Blackwell Ultra?)</t>
  </si>
  <si>
    <t>"has generated 10s of billions in revenue"</t>
  </si>
  <si>
    <t>"at Fab, on schedule for volume production next year. 3D-gen NVLink"</t>
  </si>
  <si>
    <t>Competition</t>
  </si>
  <si>
    <t>Ampere Computing acquired by Softbank for $6.5B?!?! Only $16m revenue.</t>
  </si>
  <si>
    <t>TTM CFFO</t>
  </si>
  <si>
    <t>Share</t>
  </si>
  <si>
    <t>FY99</t>
  </si>
  <si>
    <t>1998: Reincorporated in Delaware, filed IPO, RIVA128 product.</t>
  </si>
  <si>
    <t>FY98</t>
  </si>
  <si>
    <t>FY97</t>
  </si>
  <si>
    <t>FY96</t>
  </si>
  <si>
    <t>FY95</t>
  </si>
  <si>
    <t>1999: invention of the GPU. RIVA TNT2.</t>
  </si>
  <si>
    <t>1. Chris Malachowsky (co-founder)</t>
  </si>
  <si>
    <t>Christine Hoberg (CFO, charged with fraud).</t>
  </si>
  <si>
    <t>26. Jeff Fisher, first sales person</t>
  </si>
  <si>
    <t>Mark Allen (left to become CEO of Transmeta)</t>
  </si>
  <si>
    <t>2. Curtis Priem (co-founder)</t>
  </si>
  <si>
    <t>Spending y/y</t>
  </si>
  <si>
    <t>Q127</t>
  </si>
  <si>
    <t>Q227</t>
  </si>
  <si>
    <t>Q327</t>
  </si>
  <si>
    <t>Q427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</si>
</sst>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;@"/>
    <numFmt numFmtId="165" formatCode="0.0"/>
    <numFmt numFmtId="166" formatCode="0.0%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/>
    <xf numFmtId="0" fontId="1" fillId="0" borderId="0" xfId="0" applyFont="1"/>
    <xf numFmtId="14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9" fontId="1" fillId="0" borderId="0" xfId="0" applyNumberFormat="1" applyFont="1"/>
    <xf numFmtId="0" fontId="3" fillId="0" borderId="0" xfId="1"/>
    <xf numFmtId="0" fontId="0" fillId="0" borderId="1" xfId="0" applyBorder="1"/>
    <xf numFmtId="0" fontId="0" fillId="0" borderId="2" xfId="0" applyBorder="1"/>
    <xf numFmtId="0" fontId="0" fillId="0" borderId="1" xfId="0" quotePrefix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  <xf numFmtId="0" fontId="1" fillId="0" borderId="0" xfId="0" applyFont="1" applyAlignment="1">
      <alignment horizontal="right"/>
    </xf>
    <xf numFmtId="0" fontId="0" fillId="2" borderId="0" xfId="0" applyFill="1"/>
    <xf numFmtId="9" fontId="0" fillId="2" borderId="0" xfId="0" applyNumberFormat="1" applyFill="1"/>
    <xf numFmtId="0" fontId="1" fillId="2" borderId="0" xfId="0" applyFont="1" applyFill="1"/>
    <xf numFmtId="9" fontId="1" fillId="2" borderId="0" xfId="0" applyNumberFormat="1" applyFont="1" applyFill="1"/>
    <xf numFmtId="21" fontId="0" fillId="0" borderId="0" xfId="0" applyNumberFormat="1"/>
    <xf numFmtId="0" fontId="0" fillId="0" borderId="7" xfId="0" applyBorder="1" applyAlignment="1">
      <alignment horizontal="right"/>
    </xf>
    <xf numFmtId="0" fontId="0" fillId="0" borderId="1" xfId="0" quotePrefix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7A81095-DEB6-49D7-A035-8F5F751E84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13897</xdr:colOff>
      <xdr:row>0</xdr:row>
      <xdr:rowOff>0</xdr:rowOff>
    </xdr:from>
    <xdr:to>
      <xdr:col>31</xdr:col>
      <xdr:colOff>13897</xdr:colOff>
      <xdr:row>162</xdr:row>
      <xdr:rowOff>78828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D1C8C3E-ED35-A5C1-B3B1-F8E102039664}"/>
            </a:ext>
          </a:extLst>
        </xdr:cNvPr>
        <xdr:cNvCxnSpPr/>
      </xdr:nvCxnSpPr>
      <xdr:spPr>
        <a:xfrm>
          <a:off x="21932345" y="0"/>
          <a:ext cx="0" cy="256802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26835</xdr:colOff>
      <xdr:row>0</xdr:row>
      <xdr:rowOff>98535</xdr:rowOff>
    </xdr:from>
    <xdr:to>
      <xdr:col>68</xdr:col>
      <xdr:colOff>26835</xdr:colOff>
      <xdr:row>152</xdr:row>
      <xdr:rowOff>118242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6444409-B70A-4BF9-95A7-B93212F1F85B}"/>
            </a:ext>
          </a:extLst>
        </xdr:cNvPr>
        <xdr:cNvCxnSpPr/>
      </xdr:nvCxnSpPr>
      <xdr:spPr>
        <a:xfrm>
          <a:off x="28877732" y="98535"/>
          <a:ext cx="0" cy="2366798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C526F2C0-66C0-534F-AADF-50BFCB37FCD4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21" dT="2025-08-27T23:38:43.45" personId="{C526F2C0-66C0-534F-AADF-50BFCB37FCD4}" id="{250E49C1-DC6B-44A4-8507-21CC369BDF67}">
    <text>$650m H20
Sequential increase in H100/H200</text>
  </threadedComment>
  <threadedComment ref="S22" dT="2024-02-21T20:05:44.73" personId="{C526F2C0-66C0-534F-AADF-50BFCB37FCD4}" id="{E320785E-9BCE-AC4E-B37C-7EB104B6CF82}">
    <text>H100 started shipping</text>
  </threadedComment>
  <threadedComment ref="Z22" dT="2024-08-28T21:08:16.17" personId="{C526F2C0-66C0-534F-AADF-50BFCB37FCD4}" id="{AC62E1DD-5F48-4CE0-8635-05BA74B5AC99}">
    <text>Blackwell will sell several billion
Blackwall product ramp starts</text>
  </threadedComment>
  <threadedComment ref="AB22" dT="2025-08-27T23:32:35.75" personId="{C526F2C0-66C0-534F-AADF-50BFCB37FCD4}" id="{2165D505-0B46-44B7-8C69-AAD20A48D84E}">
    <text>4B H20 decline
Blackwell +17% q/q
GB300 shipments began</text>
  </threadedComment>
  <threadedComment ref="D24" dT="2025-04-26T15:42:26.18" personId="{C526F2C0-66C0-534F-AADF-50BFCB37FCD4}" id="{C2D17C36-71EE-44D1-BD93-5339CE250BCE}">
    <text>2889m if Mellanox combined</text>
  </threadedComment>
  <threadedComment ref="E24" dT="2025-04-26T15:37:01.64" personId="{C526F2C0-66C0-534F-AADF-50BFCB37FCD4}" id="{DD04AD72-6E1B-4623-8D6F-85C70969715D}">
    <text>3350m if Mellanox were combined</text>
  </threadedComment>
  <threadedComment ref="S24" dT="2024-02-21T20:05:14.08" personId="{C526F2C0-66C0-534F-AADF-50BFCB37FCD4}" id="{3CFE94FA-5EAC-7E47-B7D3-031052D60B7C}">
    <text>6.5B guidance</text>
  </threadedComment>
  <threadedComment ref="T24" dT="2024-02-21T19:58:52.64" personId="{C526F2C0-66C0-534F-AADF-50BFCB37FCD4}" id="{23E40331-82EE-794B-BF71-362AABD49EB0}">
    <text>Guidance was 11B</text>
  </threadedComment>
  <threadedComment ref="U24" dT="2024-02-21T19:55:06.51" personId="{C526F2C0-66C0-534F-AADF-50BFCB37FCD4}" id="{7661685F-D234-EE4D-9EE3-823EB4FBA0E2}">
    <text>Guidance was 16B</text>
  </threadedComment>
  <threadedComment ref="W24" dT="2024-02-21T20:21:53.11" personId="{C526F2C0-66C0-534F-AADF-50BFCB37FCD4}" id="{195B7556-9D37-2C4A-AE00-5F1730A1F989}">
    <text>Consensus 20.570B
2/21/24 guided to 23.52-24.48B</text>
  </threadedComment>
  <threadedComment ref="X24" dT="2024-08-28T19:54:29.44" personId="{C526F2C0-66C0-534F-AADF-50BFCB37FCD4}" id="{ABEADC1D-5EB0-4C3F-94A3-CDCB9F5F27A0}">
    <text>Guidance: 28000</text>
  </threadedComment>
  <threadedComment ref="Y24" dT="2024-08-28T20:02:46.45" personId="{C526F2C0-66C0-534F-AADF-50BFCB37FCD4}" id="{4E6E582A-C13D-49BC-B7B1-29F955B3A8F8}">
    <text>Consensus 31.7</text>
  </threadedComment>
  <threadedComment ref="Z24" dT="2025-02-26T16:48:39.66" personId="{C526F2C0-66C0-534F-AADF-50BFCB37FCD4}" id="{797E6991-901E-44BC-97CB-E306AC374116}">
    <text>38250 consensus</text>
  </threadedComment>
  <threadedComment ref="AA24" dT="2025-02-26T16:57:38.01" personId="{C526F2C0-66C0-534F-AADF-50BFCB37FCD4}" id="{5C4B539B-3737-41A2-ACD8-5457F543DF7D}">
    <text>Q4 guidance: 43B +- 2%
42.26B consensus, moved up to 43.34B</text>
  </threadedComment>
  <threadedComment ref="AB24" dT="2025-05-28T13:38:02.17" personId="{C526F2C0-66C0-534F-AADF-50BFCB37FCD4}" id="{0AFD1808-6C0F-4C3F-9836-027F1D0FF106}">
    <text>45.92B consensus 5/28/25
46.05B consensus 8/27/25</text>
  </threadedComment>
  <threadedComment ref="AC24" dT="2025-05-28T13:39:37.10" personId="{C526F2C0-66C0-534F-AADF-50BFCB37FCD4}" id="{48933EFE-5C5F-49EA-A80E-E765DE830619}">
    <text>51.75B consensus 5/28/25
53.43B consensus 8/27/25
54.90B consensus 11/19/25
Q2 guidance: 54B +/- 2%</text>
  </threadedComment>
  <threadedComment ref="AD24" dT="2025-05-28T13:40:30.80" personId="{C526F2C0-66C0-534F-AADF-50BFCB37FCD4}" id="{BDF99649-FFA5-4806-8F0A-EDE5EB314212}">
    <text>57.23B consensus 5/28/25
62.17B consensus 11/19/25
66.13B consensus 2/25/26
Q326 guidance: 65B +/- 2%</text>
  </threadedComment>
  <threadedComment ref="AE24" dT="2026-02-25T21:32:20.93" personId="{C526F2C0-66C0-534F-AADF-50BFCB37FCD4}" id="{376D0D5F-A54E-4DA1-8A5D-909D95A4D2DC}">
    <text>2/25/26 consensus: 72.930
Q426 guidance: $78B</text>
  </threadedComment>
  <threadedComment ref="AF24" dT="2026-02-25T21:33:24.93" personId="{C526F2C0-66C0-534F-AADF-50BFCB37FCD4}" id="{C4161604-068E-403C-8969-C0DB69A9249B}">
    <text>2/25/26 consensus: 80310</text>
  </threadedComment>
  <threadedComment ref="AG24" dT="2026-02-25T21:33:43.12" personId="{C526F2C0-66C0-534F-AADF-50BFCB37FCD4}" id="{F38BD4BC-6CC4-4D9A-94D6-8E357C694F6D}">
    <text>2/25/26 consensus: 90360</text>
  </threadedComment>
  <threadedComment ref="AH24" dT="2026-02-25T21:33:56.39" personId="{C526F2C0-66C0-534F-AADF-50BFCB37FCD4}" id="{7B1B7AAE-6DE3-4B6E-AED6-35A4E46A2D33}">
    <text>2/25/26 consensus: 98700</text>
  </threadedComment>
  <threadedComment ref="BQ24" dT="2025-02-26T16:49:05.11" personId="{C526F2C0-66C0-534F-AADF-50BFCB37FCD4}" id="{4E056475-A7E3-43D8-B802-93813DACE25F}">
    <text>196490 consensus</text>
  </threadedComment>
  <threadedComment ref="BR24" dT="2025-05-28T14:08:43.60" personId="{C526F2C0-66C0-534F-AADF-50BFCB37FCD4}" id="{472BDDD3-4E0A-4C08-8760-ABFC4732C8A2}">
    <text>247.91B consensus 5/28/25
279.87B consensus 10/28/25</text>
  </threadedComment>
  <threadedComment ref="X132" dT="2025-08-27T14:48:54.19" personId="{C526F2C0-66C0-534F-AADF-50BFCB37FCD4}" id="{63238D4C-CE84-4838-9552-C1CFED1CB057}">
    <text>Raised 6B Series B</text>
  </threadedComment>
  <threadedComment ref="Z132" dT="2025-08-27T14:48:39.95" personId="{C526F2C0-66C0-534F-AADF-50BFCB37FCD4}" id="{E0BD4732-6672-4A8E-98DD-D80F8291DB33}">
    <text>Raised 6B Series C</text>
  </threadedComment>
  <threadedComment ref="AB132" dT="2025-08-27T14:48:03.15" personId="{C526F2C0-66C0-534F-AADF-50BFCB37FCD4}" id="{250CB3BC-420E-44BF-AC5C-6793B6001B85}">
    <text>Raised 10.3B, 5.3B equity, 5.0B debt</text>
  </threadedComment>
  <threadedComment ref="Y133" dT="2025-08-27T14:50:27.29" personId="{C526F2C0-66C0-534F-AADF-50BFCB37FCD4}" id="{BD911E99-9212-4EF4-8813-69E92C9CA73A}">
    <text>Raised $4B from Amazon</text>
  </threadedComment>
  <threadedComment ref="Z133" dT="2025-08-27T14:50:18.16" personId="{C526F2C0-66C0-534F-AADF-50BFCB37FCD4}" id="{5BA76EC3-8C9B-47F0-9FDC-F22595796871}">
    <text>Raised $1B from Google</text>
  </threadedComment>
  <threadedComment ref="AA133" dT="2025-08-27T14:50:00.47" personId="{C526F2C0-66C0-534F-AADF-50BFCB37FCD4}" id="{14970EBD-D16F-43B3-AC0D-F662CDAE4F87}">
    <text>Raised 6B: 3.5B Series E, 2.5B debt</text>
  </threadedComment>
  <threadedComment ref="Z137" dT="2025-08-27T14:51:50.60" personId="{C526F2C0-66C0-534F-AADF-50BFCB37FCD4}" id="{DD0672ED-71A7-4FEE-8963-AC8C3EB46492}">
    <text>Raised 10.6B in equity/debt</text>
  </threadedComment>
  <threadedComment ref="AA137" dT="2025-08-27T14:51:27.89" personId="{C526F2C0-66C0-534F-AADF-50BFCB37FCD4}" id="{E135F8C4-952E-4ED7-BF9D-C71E486C0EE2}">
    <text>Raised 40B from SoftBank/others</text>
  </threadedComment>
  <threadedComment ref="C152" dT="2025-04-26T15:49:13.84" personId="{C526F2C0-66C0-534F-AADF-50BFCB37FCD4}" id="{1DF99399-1918-4E2C-8279-9C2FF687E1E3}">
    <text>133m Other, 249m EU, 422m Other APAC</text>
  </threadedComment>
  <threadedComment ref="D152" dT="2025-04-26T15:43:40.38" personId="{C526F2C0-66C0-534F-AADF-50BFCB37FCD4}" id="{1446D5A2-75F4-49C0-818F-A506FFEEE2AC}">
    <text>129m other, 288m EU, 756m other APAC</text>
  </threadedComment>
  <threadedComment ref="E152" dT="2025-04-26T15:38:37.30" personId="{C526F2C0-66C0-534F-AADF-50BFCB37FCD4}" id="{1DF5EE39-C8FB-4475-8FE7-ADC6D1CD4618}">
    <text>216m EU, 161m other, 805m Other APAC</text>
  </threadedComment>
  <threadedComment ref="G152" dT="2025-04-26T15:08:33.59" personId="{C526F2C0-66C0-534F-AADF-50BFCB37FCD4}" id="{DD2CD9F0-4D52-41A1-9318-3FB1FCEC2AD9}">
    <text>151m Other, 254m EU, 607m Other APAC</text>
  </threadedComment>
  <threadedComment ref="H152" dT="2025-04-26T15:06:24.83" personId="{C526F2C0-66C0-534F-AADF-50BFCB37FCD4}" id="{FCB5C1B5-F411-4AA0-8552-6396ACF5C382}">
    <text>240m EU, 175m Other, 698m Other APAC</text>
  </threadedComment>
  <threadedComment ref="I152" dT="2025-04-26T15:03:55.10" personId="{C526F2C0-66C0-534F-AADF-50BFCB37FCD4}" id="{63A90EF7-3038-4F3C-97B2-466FDABC5E09}">
    <text>Europe 247m, Other APAC 955m, Other 225m</text>
  </threadedComment>
  <threadedComment ref="J152" dT="2025-04-26T15:26:37.52" personId="{C526F2C0-66C0-534F-AADF-50BFCB37FCD4}" id="{C63606EF-04FE-45D8-9244-916E253074AB}">
    <text>TTM EU 1118m, Other APAC 3093m, Other 833m</text>
  </threadedComment>
  <threadedComment ref="O152" dT="2025-04-26T14:56:45.38" personId="{C526F2C0-66C0-534F-AADF-50BFCB37FCD4}" id="{8AC347C9-DB8B-48B0-AA14-D262027A155D}">
    <text>454m Singapore</text>
  </threadedComment>
  <threadedComment ref="Q152" dT="2025-04-26T14:45:52.99" personId="{C526F2C0-66C0-534F-AADF-50BFCB37FCD4}" id="{EE73B09E-2677-450F-B8B1-9A119FB6CC0B}">
    <text>536m Singapore</text>
  </threadedComment>
  <threadedComment ref="R152" dT="2025-04-26T14:57:01.49" personId="{C526F2C0-66C0-534F-AADF-50BFCB37FCD4}" id="{97838103-F970-4B17-BAA4-B0F2ADACFA86}">
    <text>2288m Singapore (Q4+Q2)</text>
  </threadedComment>
  <threadedComment ref="BJ152" dT="2025-04-26T15:27:26.33" personId="{C526F2C0-66C0-534F-AADF-50BFCB37FCD4}" id="{FB8A1EF9-0129-43D9-BD4D-E70349E6A7E0}">
    <text>2368m Other APAC, 914m EU, 767m Other</text>
  </threadedComment>
  <threadedComment ref="BK152" dT="2025-04-26T15:27:36.53" personId="{C526F2C0-66C0-534F-AADF-50BFCB37FCD4}" id="{D5B65222-64AF-4587-989D-4D4267FB62AC}">
    <text>2685m Other APAC, 992m EU, 599m Other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6168-49C8-45E2-8975-8028D960ECA2}">
  <dimension ref="B2:L35"/>
  <sheetViews>
    <sheetView zoomScale="160" zoomScaleNormal="160" workbookViewId="0"/>
  </sheetViews>
  <sheetFormatPr defaultRowHeight="12.5" x14ac:dyDescent="0.25"/>
  <cols>
    <col min="1" max="1" width="4.1796875" customWidth="1"/>
    <col min="11" max="11" width="10.1796875" customWidth="1"/>
  </cols>
  <sheetData>
    <row r="2" spans="2:12" x14ac:dyDescent="0.25">
      <c r="B2" s="25" t="s">
        <v>130</v>
      </c>
      <c r="C2" s="26"/>
      <c r="D2" s="35" t="s">
        <v>245</v>
      </c>
      <c r="E2" s="26"/>
      <c r="F2" s="26"/>
      <c r="G2" s="26"/>
      <c r="H2" s="27"/>
      <c r="J2" t="s">
        <v>112</v>
      </c>
      <c r="K2" s="15">
        <v>221</v>
      </c>
    </row>
    <row r="3" spans="2:12" x14ac:dyDescent="0.25">
      <c r="B3" s="19" t="s">
        <v>243</v>
      </c>
      <c r="C3" t="s">
        <v>129</v>
      </c>
      <c r="D3">
        <v>2000</v>
      </c>
      <c r="E3" t="s">
        <v>254</v>
      </c>
      <c r="H3" s="20"/>
      <c r="J3" t="s">
        <v>13</v>
      </c>
      <c r="K3" s="2">
        <v>24300</v>
      </c>
      <c r="L3" s="3" t="s">
        <v>50</v>
      </c>
    </row>
    <row r="4" spans="2:12" x14ac:dyDescent="0.25">
      <c r="B4" s="19" t="s">
        <v>242</v>
      </c>
      <c r="C4" t="s">
        <v>129</v>
      </c>
      <c r="D4">
        <v>700</v>
      </c>
      <c r="H4" s="20"/>
      <c r="J4" t="s">
        <v>113</v>
      </c>
      <c r="K4" s="2">
        <f>+K2*K3</f>
        <v>5370300</v>
      </c>
    </row>
    <row r="5" spans="2:12" x14ac:dyDescent="0.25">
      <c r="B5" s="19" t="s">
        <v>252</v>
      </c>
      <c r="E5" t="s">
        <v>253</v>
      </c>
      <c r="H5" s="20"/>
      <c r="J5" t="s">
        <v>38</v>
      </c>
      <c r="K5" s="2">
        <v>56791</v>
      </c>
      <c r="L5" s="3" t="s">
        <v>50</v>
      </c>
    </row>
    <row r="6" spans="2:12" x14ac:dyDescent="0.25">
      <c r="B6" s="19" t="s">
        <v>251</v>
      </c>
      <c r="H6" s="20"/>
      <c r="J6" t="s">
        <v>34</v>
      </c>
      <c r="K6" s="2">
        <v>8466</v>
      </c>
      <c r="L6" s="3" t="s">
        <v>50</v>
      </c>
    </row>
    <row r="7" spans="2:12" x14ac:dyDescent="0.25">
      <c r="B7" s="19" t="s">
        <v>118</v>
      </c>
      <c r="C7" t="s">
        <v>129</v>
      </c>
      <c r="D7">
        <v>700</v>
      </c>
      <c r="H7" s="20"/>
      <c r="J7" t="s">
        <v>114</v>
      </c>
      <c r="K7" s="2">
        <f>+K4-K5+K6</f>
        <v>5321975</v>
      </c>
    </row>
    <row r="8" spans="2:12" x14ac:dyDescent="0.25">
      <c r="B8" s="19" t="s">
        <v>119</v>
      </c>
      <c r="C8" t="s">
        <v>129</v>
      </c>
      <c r="D8">
        <v>400</v>
      </c>
      <c r="H8" s="20"/>
      <c r="K8" s="15"/>
    </row>
    <row r="9" spans="2:12" x14ac:dyDescent="0.25">
      <c r="B9" s="19" t="s">
        <v>120</v>
      </c>
      <c r="C9" t="s">
        <v>129</v>
      </c>
      <c r="D9" s="3" t="s">
        <v>244</v>
      </c>
      <c r="H9" s="20"/>
      <c r="J9" t="s">
        <v>173</v>
      </c>
      <c r="K9" s="28">
        <v>1993</v>
      </c>
    </row>
    <row r="10" spans="2:12" x14ac:dyDescent="0.25">
      <c r="B10" s="21" t="s">
        <v>121</v>
      </c>
      <c r="C10" t="s">
        <v>128</v>
      </c>
      <c r="D10">
        <v>450</v>
      </c>
      <c r="H10" s="20"/>
    </row>
    <row r="11" spans="2:12" x14ac:dyDescent="0.25">
      <c r="B11" s="36">
        <v>5090</v>
      </c>
      <c r="C11" t="s">
        <v>128</v>
      </c>
      <c r="D11">
        <v>575</v>
      </c>
      <c r="H11" s="20"/>
    </row>
    <row r="12" spans="2:12" x14ac:dyDescent="0.25">
      <c r="B12" s="19" t="s">
        <v>122</v>
      </c>
      <c r="C12" t="s">
        <v>123</v>
      </c>
      <c r="H12" s="20"/>
    </row>
    <row r="13" spans="2:12" x14ac:dyDescent="0.25">
      <c r="B13" s="19" t="s">
        <v>124</v>
      </c>
      <c r="C13" t="s">
        <v>127</v>
      </c>
      <c r="H13" s="20"/>
    </row>
    <row r="14" spans="2:12" x14ac:dyDescent="0.25">
      <c r="B14" s="19" t="s">
        <v>125</v>
      </c>
      <c r="C14" t="s">
        <v>126</v>
      </c>
      <c r="H14" s="20"/>
    </row>
    <row r="15" spans="2:12" x14ac:dyDescent="0.25">
      <c r="B15" s="19" t="s">
        <v>132</v>
      </c>
      <c r="C15" t="s">
        <v>133</v>
      </c>
      <c r="H15" s="20"/>
      <c r="K15" t="s">
        <v>223</v>
      </c>
    </row>
    <row r="16" spans="2:12" x14ac:dyDescent="0.25">
      <c r="B16" s="19" t="s">
        <v>134</v>
      </c>
      <c r="C16" t="s">
        <v>135</v>
      </c>
      <c r="D16" t="s">
        <v>166</v>
      </c>
      <c r="H16" s="20"/>
      <c r="K16" t="s">
        <v>225</v>
      </c>
    </row>
    <row r="17" spans="2:11" x14ac:dyDescent="0.25">
      <c r="B17" s="19" t="s">
        <v>136</v>
      </c>
      <c r="H17" s="20"/>
      <c r="K17" t="s">
        <v>224</v>
      </c>
    </row>
    <row r="18" spans="2:11" x14ac:dyDescent="0.25">
      <c r="B18" s="19" t="s">
        <v>137</v>
      </c>
      <c r="H18" s="20"/>
      <c r="K18" t="s">
        <v>117</v>
      </c>
    </row>
    <row r="19" spans="2:11" x14ac:dyDescent="0.25">
      <c r="B19" s="22" t="s">
        <v>138</v>
      </c>
      <c r="C19" s="23"/>
      <c r="D19" s="23"/>
      <c r="E19" s="23"/>
      <c r="F19" s="23"/>
      <c r="G19" s="23"/>
      <c r="H19" s="24"/>
      <c r="K19" t="s">
        <v>115</v>
      </c>
    </row>
    <row r="20" spans="2:11" x14ac:dyDescent="0.25">
      <c r="K20" t="s">
        <v>116</v>
      </c>
    </row>
    <row r="21" spans="2:11" x14ac:dyDescent="0.25">
      <c r="B21" t="s">
        <v>139</v>
      </c>
      <c r="C21" t="s">
        <v>140</v>
      </c>
      <c r="K21" t="s">
        <v>265</v>
      </c>
    </row>
    <row r="22" spans="2:11" x14ac:dyDescent="0.25">
      <c r="B22" t="s">
        <v>141</v>
      </c>
      <c r="C22" t="s">
        <v>142</v>
      </c>
      <c r="K22" t="s">
        <v>260</v>
      </c>
    </row>
    <row r="23" spans="2:11" x14ac:dyDescent="0.25">
      <c r="B23" t="s">
        <v>143</v>
      </c>
      <c r="C23" t="s">
        <v>144</v>
      </c>
      <c r="K23" t="s">
        <v>131</v>
      </c>
    </row>
    <row r="25" spans="2:11" x14ac:dyDescent="0.25">
      <c r="K25" t="s">
        <v>266</v>
      </c>
    </row>
    <row r="26" spans="2:11" x14ac:dyDescent="0.25">
      <c r="B26" t="s">
        <v>157</v>
      </c>
      <c r="K26" t="s">
        <v>270</v>
      </c>
    </row>
    <row r="27" spans="2:11" x14ac:dyDescent="0.25">
      <c r="B27" t="s">
        <v>167</v>
      </c>
      <c r="K27" t="s">
        <v>267</v>
      </c>
    </row>
    <row r="28" spans="2:11" x14ac:dyDescent="0.25">
      <c r="K28" t="s">
        <v>268</v>
      </c>
    </row>
    <row r="29" spans="2:11" x14ac:dyDescent="0.25">
      <c r="I29" t="s">
        <v>247</v>
      </c>
      <c r="K29" t="s">
        <v>269</v>
      </c>
    </row>
    <row r="31" spans="2:11" x14ac:dyDescent="0.25">
      <c r="B31" t="s">
        <v>241</v>
      </c>
      <c r="C31" t="s">
        <v>246</v>
      </c>
      <c r="F31" t="s">
        <v>248</v>
      </c>
    </row>
    <row r="34" spans="2:3" x14ac:dyDescent="0.25">
      <c r="B34" t="s">
        <v>255</v>
      </c>
    </row>
    <row r="35" spans="2:3" x14ac:dyDescent="0.25">
      <c r="C35" t="s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193D-ACA0-4C17-9392-2417D68CD430}">
  <dimension ref="A1:FN152"/>
  <sheetViews>
    <sheetView tabSelected="1" zoomScale="115" zoomScaleNormal="115" workbookViewId="0">
      <pane xSplit="2" ySplit="3" topLeftCell="BP13" activePane="bottomRight" state="frozen"/>
      <selection pane="topRight" activeCell="C1" sqref="C1"/>
      <selection pane="bottomLeft" activeCell="A4" sqref="A4"/>
      <selection pane="bottomRight" activeCell="BY47" sqref="BY47"/>
    </sheetView>
  </sheetViews>
  <sheetFormatPr defaultColWidth="8.81640625" defaultRowHeight="12.5" x14ac:dyDescent="0.25"/>
  <cols>
    <col min="1" max="1" width="5" bestFit="1" customWidth="1"/>
    <col min="2" max="2" width="22.54296875" customWidth="1"/>
    <col min="3" max="19" width="9.7265625" style="3" customWidth="1"/>
    <col min="20" max="21" width="9.7265625" customWidth="1"/>
    <col min="22" max="57" width="10.1796875" customWidth="1"/>
    <col min="58" max="59" width="9.26953125" bestFit="1" customWidth="1"/>
    <col min="60" max="60" width="9.26953125" customWidth="1"/>
    <col min="61" max="61" width="9.26953125" bestFit="1" customWidth="1"/>
    <col min="62" max="62" width="9.26953125" customWidth="1"/>
    <col min="63" max="68" width="10" customWidth="1"/>
    <col min="69" max="77" width="10.453125" customWidth="1"/>
    <col min="78" max="78" width="10.26953125" customWidth="1"/>
  </cols>
  <sheetData>
    <row r="1" spans="1:78" x14ac:dyDescent="0.25">
      <c r="A1" s="18" t="s">
        <v>0</v>
      </c>
    </row>
    <row r="2" spans="1:78" x14ac:dyDescent="0.25">
      <c r="C2" s="13">
        <v>43583</v>
      </c>
      <c r="D2" s="13">
        <v>43674</v>
      </c>
      <c r="E2" s="13">
        <v>43765</v>
      </c>
      <c r="F2" s="13">
        <f>+BK2</f>
        <v>43856</v>
      </c>
      <c r="G2" s="13">
        <v>43947</v>
      </c>
      <c r="H2" s="13">
        <v>44038</v>
      </c>
      <c r="I2" s="13">
        <v>44129</v>
      </c>
      <c r="J2" s="13">
        <v>44227</v>
      </c>
      <c r="K2" s="13">
        <v>44318</v>
      </c>
      <c r="L2" s="13">
        <v>44409</v>
      </c>
      <c r="M2" s="13">
        <v>44500</v>
      </c>
      <c r="N2" s="13">
        <v>44591</v>
      </c>
      <c r="O2" s="13">
        <v>44682</v>
      </c>
      <c r="P2" s="13">
        <f>+Q2-91</f>
        <v>44773</v>
      </c>
      <c r="Q2" s="13">
        <v>44864</v>
      </c>
      <c r="R2" s="13">
        <v>44955</v>
      </c>
      <c r="S2" s="13">
        <v>45046</v>
      </c>
      <c r="T2" s="13">
        <v>45135</v>
      </c>
      <c r="U2" s="13">
        <v>45228</v>
      </c>
      <c r="V2" s="13">
        <v>45319</v>
      </c>
      <c r="W2" s="13">
        <v>45410</v>
      </c>
      <c r="X2" s="13">
        <f>+T2+366</f>
        <v>45501</v>
      </c>
      <c r="Y2" s="13">
        <v>45592</v>
      </c>
      <c r="Z2" s="13">
        <v>45683</v>
      </c>
      <c r="AA2" s="13">
        <f>+W2+364</f>
        <v>45774</v>
      </c>
      <c r="AB2" s="13">
        <f t="shared" ref="AB2:AH2" si="0">+X2+365</f>
        <v>45866</v>
      </c>
      <c r="AC2" s="13">
        <f t="shared" si="0"/>
        <v>45957</v>
      </c>
      <c r="AD2" s="13">
        <f t="shared" si="0"/>
        <v>46048</v>
      </c>
      <c r="AE2" s="13">
        <f t="shared" si="0"/>
        <v>46139</v>
      </c>
      <c r="AF2" s="13">
        <f t="shared" si="0"/>
        <v>46231</v>
      </c>
      <c r="AG2" s="13">
        <f t="shared" si="0"/>
        <v>46322</v>
      </c>
      <c r="AH2" s="13">
        <f t="shared" si="0"/>
        <v>46413</v>
      </c>
      <c r="AI2" s="13"/>
      <c r="AJ2" s="13"/>
      <c r="AK2" s="13"/>
      <c r="AL2" s="13">
        <v>35064</v>
      </c>
      <c r="AM2" s="13">
        <v>35430</v>
      </c>
      <c r="AN2" s="13">
        <v>35795</v>
      </c>
      <c r="AO2" s="13">
        <v>36160</v>
      </c>
      <c r="AP2" s="13">
        <v>36191</v>
      </c>
      <c r="AQ2" s="13">
        <v>36555</v>
      </c>
      <c r="AR2" s="13">
        <v>36919</v>
      </c>
      <c r="AS2" s="13">
        <v>37283</v>
      </c>
      <c r="AT2" s="13">
        <v>37646</v>
      </c>
      <c r="AU2" s="13">
        <v>38011</v>
      </c>
      <c r="AV2" s="13">
        <v>38382</v>
      </c>
      <c r="AW2" s="13">
        <v>38746</v>
      </c>
      <c r="AX2" s="13">
        <v>39110</v>
      </c>
      <c r="AY2" s="13">
        <v>39474</v>
      </c>
      <c r="AZ2" s="13">
        <v>39838</v>
      </c>
      <c r="BA2" s="13">
        <v>40208</v>
      </c>
      <c r="BB2" s="1">
        <v>40573</v>
      </c>
      <c r="BC2" s="1">
        <v>40937</v>
      </c>
      <c r="BD2" s="1">
        <v>41301</v>
      </c>
      <c r="BE2" s="1">
        <v>41665</v>
      </c>
      <c r="BF2" s="1">
        <v>42029</v>
      </c>
      <c r="BG2" s="1">
        <v>42400</v>
      </c>
      <c r="BH2" s="1">
        <v>42764</v>
      </c>
      <c r="BI2" s="1">
        <v>43128</v>
      </c>
      <c r="BJ2" s="1">
        <v>43492</v>
      </c>
      <c r="BK2" s="1">
        <v>43856</v>
      </c>
      <c r="BL2" s="1">
        <v>44227</v>
      </c>
      <c r="BM2" s="1">
        <v>44591</v>
      </c>
      <c r="BN2" s="1">
        <f>+BO2-365</f>
        <v>44955</v>
      </c>
      <c r="BO2" s="1">
        <v>45320</v>
      </c>
      <c r="BP2" s="1">
        <f>Z2</f>
        <v>45683</v>
      </c>
      <c r="BQ2" s="1">
        <f t="shared" ref="BQ2:BY2" si="1">+BP2+365</f>
        <v>46048</v>
      </c>
      <c r="BR2" s="1">
        <f t="shared" si="1"/>
        <v>46413</v>
      </c>
      <c r="BS2" s="1">
        <f t="shared" si="1"/>
        <v>46778</v>
      </c>
      <c r="BT2" s="1">
        <f t="shared" si="1"/>
        <v>47143</v>
      </c>
      <c r="BU2" s="1">
        <f t="shared" si="1"/>
        <v>47508</v>
      </c>
      <c r="BV2" s="1">
        <f t="shared" si="1"/>
        <v>47873</v>
      </c>
      <c r="BW2" s="1">
        <f t="shared" si="1"/>
        <v>48238</v>
      </c>
      <c r="BX2" s="1">
        <f t="shared" si="1"/>
        <v>48603</v>
      </c>
      <c r="BY2" s="1">
        <f t="shared" si="1"/>
        <v>48968</v>
      </c>
      <c r="BZ2" s="1">
        <f t="shared" ref="BZ2" si="2">+BY2+365</f>
        <v>49333</v>
      </c>
    </row>
    <row r="3" spans="1:78" x14ac:dyDescent="0.25">
      <c r="C3" s="4" t="s">
        <v>226</v>
      </c>
      <c r="D3" s="4" t="s">
        <v>227</v>
      </c>
      <c r="E3" s="4" t="s">
        <v>228</v>
      </c>
      <c r="F3" s="4" t="s">
        <v>229</v>
      </c>
      <c r="G3" s="4" t="s">
        <v>175</v>
      </c>
      <c r="H3" s="4" t="s">
        <v>176</v>
      </c>
      <c r="I3" s="4" t="s">
        <v>170</v>
      </c>
      <c r="J3" s="4" t="s">
        <v>29</v>
      </c>
      <c r="K3" s="4" t="s">
        <v>26</v>
      </c>
      <c r="L3" s="4" t="s">
        <v>27</v>
      </c>
      <c r="M3" s="4" t="s">
        <v>28</v>
      </c>
      <c r="N3" s="4" t="s">
        <v>23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25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191</v>
      </c>
      <c r="AB3" s="4" t="s">
        <v>192</v>
      </c>
      <c r="AC3" s="4" t="s">
        <v>193</v>
      </c>
      <c r="AD3" s="4" t="s">
        <v>194</v>
      </c>
      <c r="AE3" s="4" t="s">
        <v>272</v>
      </c>
      <c r="AF3" s="4" t="s">
        <v>273</v>
      </c>
      <c r="AG3" s="4" t="s">
        <v>274</v>
      </c>
      <c r="AH3" s="4" t="s">
        <v>275</v>
      </c>
      <c r="AI3" s="4"/>
      <c r="AJ3" s="4"/>
      <c r="AK3" s="4"/>
      <c r="AL3" s="4" t="s">
        <v>264</v>
      </c>
      <c r="AM3" s="4" t="s">
        <v>263</v>
      </c>
      <c r="AN3" s="4" t="s">
        <v>262</v>
      </c>
      <c r="AO3" s="4" t="s">
        <v>261</v>
      </c>
      <c r="AP3" s="4" t="s">
        <v>259</v>
      </c>
      <c r="AQ3" s="4" t="s">
        <v>240</v>
      </c>
      <c r="AR3" s="4" t="s">
        <v>239</v>
      </c>
      <c r="AS3" s="4" t="s">
        <v>238</v>
      </c>
      <c r="AT3" s="4" t="s">
        <v>237</v>
      </c>
      <c r="AU3" s="4" t="s">
        <v>236</v>
      </c>
      <c r="AV3" s="4" t="s">
        <v>235</v>
      </c>
      <c r="AW3" s="4" t="s">
        <v>234</v>
      </c>
      <c r="AX3" s="4" t="s">
        <v>233</v>
      </c>
      <c r="AY3" s="4" t="s">
        <v>232</v>
      </c>
      <c r="AZ3" s="4" t="s">
        <v>231</v>
      </c>
      <c r="BA3" s="4" t="s">
        <v>230</v>
      </c>
      <c r="BB3" s="4" t="s">
        <v>184</v>
      </c>
      <c r="BC3" s="4" t="s">
        <v>183</v>
      </c>
      <c r="BD3" s="4" t="s">
        <v>182</v>
      </c>
      <c r="BE3" s="4" t="s">
        <v>181</v>
      </c>
      <c r="BF3" s="4" t="s">
        <v>180</v>
      </c>
      <c r="BG3" s="4" t="s">
        <v>179</v>
      </c>
      <c r="BH3" s="4" t="s">
        <v>178</v>
      </c>
      <c r="BI3" s="4" t="s">
        <v>177</v>
      </c>
      <c r="BJ3" s="4" t="s">
        <v>96</v>
      </c>
      <c r="BK3" s="4" t="s">
        <v>97</v>
      </c>
      <c r="BL3" s="4" t="s">
        <v>98</v>
      </c>
      <c r="BM3" s="4" t="s">
        <v>99</v>
      </c>
      <c r="BN3" s="4" t="s">
        <v>100</v>
      </c>
      <c r="BO3" s="4" t="s">
        <v>101</v>
      </c>
      <c r="BP3" s="4" t="s">
        <v>102</v>
      </c>
      <c r="BQ3" s="4" t="s">
        <v>103</v>
      </c>
      <c r="BR3" s="4" t="s">
        <v>104</v>
      </c>
      <c r="BS3" s="4" t="s">
        <v>105</v>
      </c>
      <c r="BT3" s="4" t="s">
        <v>106</v>
      </c>
      <c r="BU3" s="4" t="s">
        <v>107</v>
      </c>
      <c r="BV3" s="4" t="s">
        <v>108</v>
      </c>
      <c r="BW3" s="4" t="s">
        <v>109</v>
      </c>
      <c r="BX3" s="4" t="s">
        <v>110</v>
      </c>
      <c r="BY3" s="4" t="s">
        <v>111</v>
      </c>
      <c r="BZ3" s="4" t="s">
        <v>216</v>
      </c>
    </row>
    <row r="4" spans="1:78" x14ac:dyDescent="0.25">
      <c r="B4" t="s">
        <v>188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5">
        <v>5000000</v>
      </c>
      <c r="BV4" s="5">
        <f>+BU4*2</f>
        <v>10000000</v>
      </c>
      <c r="BW4" s="5">
        <f>+BV4*1.5</f>
        <v>15000000</v>
      </c>
      <c r="BX4" s="5">
        <f>+BW4*1.5</f>
        <v>22500000</v>
      </c>
      <c r="BY4" s="5">
        <f>+BX4*1.5</f>
        <v>33750000</v>
      </c>
    </row>
    <row r="5" spans="1:78" x14ac:dyDescent="0.25">
      <c r="B5" t="s">
        <v>189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5">
        <v>50000</v>
      </c>
      <c r="BV5" s="5">
        <v>50000</v>
      </c>
      <c r="BW5" s="5">
        <v>50000</v>
      </c>
      <c r="BX5" s="5">
        <v>50000</v>
      </c>
      <c r="BY5" s="5">
        <v>50000</v>
      </c>
    </row>
    <row r="6" spans="1:78" x14ac:dyDescent="0.25">
      <c r="B6" t="s">
        <v>185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5">
        <f>+BU5*BU4/1000000</f>
        <v>250000</v>
      </c>
      <c r="BV6" s="5">
        <f>+BV5*BV4/1000000</f>
        <v>500000</v>
      </c>
      <c r="BW6" s="5">
        <f>+BW5*BW4/1000000</f>
        <v>750000</v>
      </c>
      <c r="BX6" s="5">
        <f>+BX5*BX4/1000000</f>
        <v>1125000</v>
      </c>
      <c r="BY6" s="5">
        <f>+BY5*BY4/1000000</f>
        <v>1687500</v>
      </c>
    </row>
    <row r="7" spans="1:78" x14ac:dyDescent="0.25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5"/>
      <c r="BV7" s="5"/>
      <c r="BW7" s="5"/>
      <c r="BX7" s="5"/>
      <c r="BY7" s="5"/>
    </row>
    <row r="8" spans="1:78" s="2" customFormat="1" x14ac:dyDescent="0.25">
      <c r="B8" s="2" t="s">
        <v>186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>
        <v>40000</v>
      </c>
      <c r="BR8" s="5"/>
      <c r="BS8" s="5"/>
      <c r="BT8" s="5"/>
      <c r="BU8" s="5"/>
      <c r="BV8" s="5"/>
      <c r="BW8" s="5"/>
      <c r="BX8" s="5"/>
      <c r="BY8" s="5"/>
    </row>
    <row r="9" spans="1:78" x14ac:dyDescent="0.25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</row>
    <row r="10" spans="1:78" x14ac:dyDescent="0.25">
      <c r="B10" t="s">
        <v>190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5">
        <v>1000000</v>
      </c>
      <c r="BV10" s="5">
        <f>+BU10*2</f>
        <v>2000000</v>
      </c>
      <c r="BW10" s="5">
        <f>+BV10*2</f>
        <v>4000000</v>
      </c>
      <c r="BX10" s="5">
        <f>+BW10*1.5</f>
        <v>6000000</v>
      </c>
      <c r="BY10" s="5">
        <f>+BX10*1.5</f>
        <v>9000000</v>
      </c>
    </row>
    <row r="11" spans="1:78" x14ac:dyDescent="0.25">
      <c r="B11" t="s">
        <v>189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5">
        <v>20000</v>
      </c>
      <c r="BV11" s="5">
        <v>20000</v>
      </c>
      <c r="BW11" s="5">
        <v>20000</v>
      </c>
      <c r="BX11" s="5">
        <v>20000</v>
      </c>
      <c r="BY11" s="5">
        <v>20000</v>
      </c>
    </row>
    <row r="12" spans="1:78" x14ac:dyDescent="0.25">
      <c r="B12" t="s">
        <v>187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5">
        <f>+BU11*BU10/1000000</f>
        <v>20000</v>
      </c>
      <c r="BV12" s="5">
        <f>+BV11*BV10/1000000</f>
        <v>40000</v>
      </c>
      <c r="BW12" s="5">
        <f>+BW11*BW10/1000000</f>
        <v>80000</v>
      </c>
      <c r="BX12" s="5">
        <f>+BX11*BX10/1000000</f>
        <v>120000</v>
      </c>
      <c r="BY12" s="5">
        <f>+BY11*BY10/1000000</f>
        <v>180000</v>
      </c>
    </row>
    <row r="13" spans="1:78" x14ac:dyDescent="0.25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  <c r="T13" s="5"/>
      <c r="U13" s="5"/>
      <c r="V13" s="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</row>
    <row r="14" spans="1:78" s="2" customFormat="1" x14ac:dyDescent="0.25">
      <c r="B14" s="2" t="s">
        <v>159</v>
      </c>
      <c r="C14" s="5">
        <v>694</v>
      </c>
      <c r="D14" s="5">
        <v>776</v>
      </c>
      <c r="E14" s="5">
        <v>788</v>
      </c>
      <c r="F14" s="5">
        <f>+BK14-E14-D14-C14</f>
        <v>1021</v>
      </c>
      <c r="G14" s="5">
        <v>1174</v>
      </c>
      <c r="H14" s="5">
        <v>1781</v>
      </c>
      <c r="I14" s="5">
        <v>1939</v>
      </c>
      <c r="J14" s="5">
        <f>6841-I14-H14-G14</f>
        <v>1947</v>
      </c>
      <c r="K14" s="5">
        <v>2210</v>
      </c>
      <c r="L14" s="5">
        <v>2600</v>
      </c>
      <c r="M14" s="5">
        <v>3011</v>
      </c>
      <c r="N14" s="5">
        <f>11046-M14-L14-K14</f>
        <v>3225</v>
      </c>
      <c r="O14" s="5">
        <v>3672</v>
      </c>
      <c r="P14" s="5">
        <v>3907</v>
      </c>
      <c r="Q14" s="5">
        <v>3816</v>
      </c>
      <c r="R14" s="5">
        <f>15068-Q14-P14-O14</f>
        <v>3673</v>
      </c>
      <c r="S14" s="5">
        <v>4460</v>
      </c>
      <c r="T14" s="5">
        <v>10402</v>
      </c>
      <c r="U14" s="5">
        <v>14645</v>
      </c>
      <c r="V14" s="5">
        <v>17898</v>
      </c>
      <c r="W14" s="5">
        <v>22675</v>
      </c>
      <c r="X14" s="5">
        <v>26446</v>
      </c>
      <c r="Y14" s="5">
        <v>31036</v>
      </c>
      <c r="Z14" s="5">
        <v>36036</v>
      </c>
      <c r="AA14" s="5">
        <v>39589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K14" s="2">
        <v>3279</v>
      </c>
      <c r="BL14" s="2">
        <v>6841</v>
      </c>
      <c r="BM14" s="2">
        <v>11046</v>
      </c>
      <c r="BN14" s="2">
        <f t="shared" ref="BN14:BN19" si="3">SUM(O14:R14)</f>
        <v>15068</v>
      </c>
      <c r="BO14" s="2">
        <v>47405</v>
      </c>
      <c r="BP14" s="2">
        <f>SUM(W14:Z14)</f>
        <v>116193</v>
      </c>
    </row>
    <row r="15" spans="1:78" s="2" customFormat="1" x14ac:dyDescent="0.25">
      <c r="B15" s="2" t="s">
        <v>160</v>
      </c>
      <c r="C15" s="5">
        <v>1526</v>
      </c>
      <c r="D15" s="5">
        <v>1803</v>
      </c>
      <c r="E15" s="5">
        <v>2226</v>
      </c>
      <c r="F15" s="5">
        <f>+BK15-E15-D15-C15</f>
        <v>2084</v>
      </c>
      <c r="G15" s="5">
        <v>1906</v>
      </c>
      <c r="H15" s="5">
        <v>2085</v>
      </c>
      <c r="I15" s="5">
        <v>2787</v>
      </c>
      <c r="J15" s="5">
        <f>9834-I15-H15-G15</f>
        <v>3056</v>
      </c>
      <c r="K15" s="5">
        <v>3451</v>
      </c>
      <c r="L15" s="5">
        <v>3907</v>
      </c>
      <c r="M15" s="5">
        <v>4092</v>
      </c>
      <c r="N15" s="5">
        <f>15868-M15-L15-K15</f>
        <v>4418</v>
      </c>
      <c r="O15" s="5">
        <v>4616</v>
      </c>
      <c r="P15" s="5">
        <v>2797</v>
      </c>
      <c r="Q15" s="5">
        <v>2115</v>
      </c>
      <c r="R15" s="5">
        <f>11906-Q15-P15-O15</f>
        <v>2378</v>
      </c>
      <c r="S15" s="5">
        <v>2732</v>
      </c>
      <c r="T15" s="5">
        <v>3105</v>
      </c>
      <c r="U15" s="5">
        <v>3475</v>
      </c>
      <c r="V15" s="5">
        <v>4205</v>
      </c>
      <c r="W15" s="5">
        <v>3369</v>
      </c>
      <c r="X15" s="5">
        <v>3594</v>
      </c>
      <c r="Y15" s="5">
        <v>4046</v>
      </c>
      <c r="Z15" s="5">
        <v>3295</v>
      </c>
      <c r="AA15" s="5">
        <v>4473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K15" s="2">
        <v>7639</v>
      </c>
      <c r="BL15" s="2">
        <v>9834</v>
      </c>
      <c r="BM15" s="2">
        <v>15868</v>
      </c>
      <c r="BN15" s="2">
        <f t="shared" si="3"/>
        <v>11906</v>
      </c>
      <c r="BO15" s="2">
        <v>13517</v>
      </c>
      <c r="BP15" s="2">
        <f>SUM(W15:Z15)</f>
        <v>14304</v>
      </c>
    </row>
    <row r="16" spans="1:78" s="2" customFormat="1" x14ac:dyDescent="0.25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2:78" s="2" customFormat="1" x14ac:dyDescent="0.25">
      <c r="B17" s="2" t="s">
        <v>46</v>
      </c>
      <c r="C17" s="5">
        <v>99</v>
      </c>
      <c r="D17" s="5">
        <v>111</v>
      </c>
      <c r="E17" s="5">
        <v>143</v>
      </c>
      <c r="F17" s="5">
        <f>+BK17-E17-D17-C17</f>
        <v>152</v>
      </c>
      <c r="G17" s="5">
        <v>138</v>
      </c>
      <c r="H17" s="5">
        <v>146</v>
      </c>
      <c r="I17" s="5">
        <v>194</v>
      </c>
      <c r="J17" s="5">
        <f>631-I17-H17-G17</f>
        <v>153</v>
      </c>
      <c r="K17" s="5">
        <v>327</v>
      </c>
      <c r="L17" s="5">
        <v>409</v>
      </c>
      <c r="M17" s="5">
        <v>234</v>
      </c>
      <c r="N17" s="5">
        <f>1162-M17-L17-K17</f>
        <v>192</v>
      </c>
      <c r="O17" s="5">
        <v>158</v>
      </c>
      <c r="P17" s="5">
        <v>140</v>
      </c>
      <c r="Q17" s="5">
        <v>73</v>
      </c>
      <c r="R17" s="5">
        <f>455-Q17-P17-O17</f>
        <v>84</v>
      </c>
      <c r="S17" s="5">
        <v>77</v>
      </c>
      <c r="T17" s="5">
        <v>66</v>
      </c>
      <c r="U17" s="2">
        <v>73</v>
      </c>
      <c r="V17" s="2">
        <f>306-U17-T17-S17</f>
        <v>90</v>
      </c>
      <c r="W17" s="2">
        <v>78</v>
      </c>
      <c r="X17" s="2">
        <v>88</v>
      </c>
      <c r="Y17" s="2">
        <v>97</v>
      </c>
      <c r="Z17" s="2">
        <v>126</v>
      </c>
      <c r="AA17" s="2">
        <v>74</v>
      </c>
      <c r="AB17" s="2">
        <v>173</v>
      </c>
      <c r="AD17" s="2">
        <f>+Z17*1.4</f>
        <v>176.39999999999998</v>
      </c>
      <c r="BJ17" s="2">
        <v>767</v>
      </c>
      <c r="BK17" s="2">
        <v>505</v>
      </c>
      <c r="BL17" s="2">
        <v>631</v>
      </c>
      <c r="BM17" s="2">
        <v>1162</v>
      </c>
      <c r="BN17" s="2">
        <f t="shared" si="3"/>
        <v>455</v>
      </c>
      <c r="BO17" s="2">
        <f t="shared" ref="BO17:BO21" si="4">SUM(S17:V17)</f>
        <v>306</v>
      </c>
      <c r="BP17" s="2">
        <f t="shared" ref="BP17:BP21" si="5">SUM(W17:Z17)</f>
        <v>389</v>
      </c>
    </row>
    <row r="18" spans="2:78" s="2" customFormat="1" x14ac:dyDescent="0.25">
      <c r="B18" s="2" t="s">
        <v>20</v>
      </c>
      <c r="C18" s="5">
        <v>266</v>
      </c>
      <c r="D18" s="5">
        <v>291</v>
      </c>
      <c r="E18" s="5">
        <v>324</v>
      </c>
      <c r="F18" s="5">
        <f>+BK18-E18-D18-C18</f>
        <v>331</v>
      </c>
      <c r="G18" s="5">
        <v>307</v>
      </c>
      <c r="H18" s="5">
        <v>203</v>
      </c>
      <c r="I18" s="5">
        <v>236</v>
      </c>
      <c r="J18" s="5">
        <f>1053-I18-H18-G18</f>
        <v>307</v>
      </c>
      <c r="K18" s="5">
        <v>372</v>
      </c>
      <c r="L18" s="5">
        <v>519</v>
      </c>
      <c r="M18" s="5">
        <v>577</v>
      </c>
      <c r="N18" s="5">
        <v>643</v>
      </c>
      <c r="O18" s="5">
        <v>622</v>
      </c>
      <c r="P18" s="5">
        <v>496</v>
      </c>
      <c r="Q18" s="5">
        <v>200</v>
      </c>
      <c r="R18" s="5">
        <v>226</v>
      </c>
      <c r="S18" s="5">
        <v>295</v>
      </c>
      <c r="T18" s="5">
        <v>379</v>
      </c>
      <c r="U18" s="2">
        <v>416</v>
      </c>
      <c r="V18" s="2">
        <v>463</v>
      </c>
      <c r="W18" s="5">
        <v>427</v>
      </c>
      <c r="X18" s="2">
        <v>454</v>
      </c>
      <c r="Y18" s="2">
        <v>486</v>
      </c>
      <c r="Z18" s="2">
        <v>511</v>
      </c>
      <c r="AA18" s="2">
        <v>509</v>
      </c>
      <c r="AB18" s="2">
        <v>601</v>
      </c>
      <c r="AC18" s="2">
        <v>760</v>
      </c>
      <c r="AD18" s="2">
        <f>+Z18*1.4</f>
        <v>715.4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J18" s="2">
        <v>1130</v>
      </c>
      <c r="BK18" s="2">
        <v>1212</v>
      </c>
      <c r="BL18" s="2">
        <v>1053</v>
      </c>
      <c r="BM18" s="2">
        <v>2111</v>
      </c>
      <c r="BN18" s="2">
        <f t="shared" si="3"/>
        <v>1544</v>
      </c>
      <c r="BO18" s="2">
        <f t="shared" si="4"/>
        <v>1553</v>
      </c>
      <c r="BP18" s="2">
        <f t="shared" si="5"/>
        <v>1878</v>
      </c>
    </row>
    <row r="19" spans="2:78" s="2" customFormat="1" x14ac:dyDescent="0.25">
      <c r="B19" s="2" t="s">
        <v>21</v>
      </c>
      <c r="C19" s="5">
        <v>166</v>
      </c>
      <c r="D19" s="5">
        <v>209</v>
      </c>
      <c r="E19" s="5">
        <v>162</v>
      </c>
      <c r="F19" s="5">
        <f>+BK19-E19-D19-C19</f>
        <v>163</v>
      </c>
      <c r="G19" s="5">
        <v>155</v>
      </c>
      <c r="H19" s="5">
        <v>111</v>
      </c>
      <c r="I19" s="5">
        <v>125</v>
      </c>
      <c r="J19" s="5">
        <f>536-I19-H19-G19</f>
        <v>145</v>
      </c>
      <c r="K19" s="5">
        <v>154</v>
      </c>
      <c r="L19" s="5">
        <v>152</v>
      </c>
      <c r="M19" s="5">
        <v>135</v>
      </c>
      <c r="N19" s="5">
        <v>125</v>
      </c>
      <c r="O19" s="5">
        <v>138</v>
      </c>
      <c r="P19" s="5">
        <v>220</v>
      </c>
      <c r="Q19" s="5">
        <v>251</v>
      </c>
      <c r="R19" s="5">
        <v>294</v>
      </c>
      <c r="S19" s="5">
        <v>296</v>
      </c>
      <c r="T19" s="5">
        <v>253</v>
      </c>
      <c r="U19" s="2">
        <v>261</v>
      </c>
      <c r="V19" s="2">
        <v>281</v>
      </c>
      <c r="W19" s="5">
        <v>329</v>
      </c>
      <c r="X19" s="2">
        <v>346</v>
      </c>
      <c r="Y19" s="2">
        <v>449</v>
      </c>
      <c r="Z19" s="2">
        <v>570</v>
      </c>
      <c r="AA19" s="2">
        <v>567</v>
      </c>
      <c r="AB19" s="2">
        <v>586</v>
      </c>
      <c r="AC19" s="2">
        <v>592</v>
      </c>
      <c r="AD19" s="2">
        <f>+Z19*1.4</f>
        <v>798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J19" s="2">
        <v>641</v>
      </c>
      <c r="BK19" s="2">
        <v>700</v>
      </c>
      <c r="BL19" s="2">
        <v>536</v>
      </c>
      <c r="BM19" s="2">
        <v>566</v>
      </c>
      <c r="BN19" s="2">
        <f t="shared" si="3"/>
        <v>903</v>
      </c>
      <c r="BO19" s="2">
        <f t="shared" si="4"/>
        <v>1091</v>
      </c>
      <c r="BP19" s="2">
        <f t="shared" si="5"/>
        <v>1694</v>
      </c>
    </row>
    <row r="20" spans="2:78" s="2" customFormat="1" x14ac:dyDescent="0.25">
      <c r="B20" s="2" t="s">
        <v>169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927</v>
      </c>
      <c r="T20" s="5">
        <v>1711</v>
      </c>
      <c r="U20" s="2">
        <v>2606</v>
      </c>
      <c r="V20" s="2">
        <v>3331</v>
      </c>
      <c r="W20" s="5">
        <v>3171</v>
      </c>
      <c r="X20" s="2">
        <v>3668</v>
      </c>
      <c r="Y20" s="2">
        <v>3127</v>
      </c>
      <c r="Z20" s="2">
        <v>3024</v>
      </c>
      <c r="AA20" s="2">
        <v>4957</v>
      </c>
      <c r="AB20" s="2">
        <v>7252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O20" s="2">
        <f t="shared" si="4"/>
        <v>8575</v>
      </c>
      <c r="BP20" s="2">
        <f t="shared" si="5"/>
        <v>12990</v>
      </c>
    </row>
    <row r="21" spans="2:78" s="2" customFormat="1" x14ac:dyDescent="0.25">
      <c r="B21" s="2" t="s">
        <v>168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3357</v>
      </c>
      <c r="T21" s="5">
        <v>8612</v>
      </c>
      <c r="U21" s="2">
        <v>11908</v>
      </c>
      <c r="V21" s="2">
        <v>15073</v>
      </c>
      <c r="W21" s="5">
        <v>19392</v>
      </c>
      <c r="X21" s="2">
        <v>22604</v>
      </c>
      <c r="Y21" s="2">
        <v>27644</v>
      </c>
      <c r="Z21" s="2">
        <v>32556</v>
      </c>
      <c r="AA21" s="2">
        <v>34155</v>
      </c>
      <c r="AB21" s="2">
        <v>33844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O21" s="2">
        <f t="shared" si="4"/>
        <v>38950</v>
      </c>
      <c r="BP21" s="2">
        <f t="shared" si="5"/>
        <v>102196</v>
      </c>
    </row>
    <row r="22" spans="2:78" s="2" customFormat="1" x14ac:dyDescent="0.25">
      <c r="B22" s="2" t="s">
        <v>22</v>
      </c>
      <c r="C22" s="5">
        <v>634</v>
      </c>
      <c r="D22" s="5">
        <v>655</v>
      </c>
      <c r="E22" s="5">
        <v>726</v>
      </c>
      <c r="F22" s="5">
        <f>+BK22-E22-D22-C22</f>
        <v>968</v>
      </c>
      <c r="G22" s="5">
        <v>1141</v>
      </c>
      <c r="H22" s="5">
        <v>1752</v>
      </c>
      <c r="I22" s="5">
        <v>1900</v>
      </c>
      <c r="J22" s="5">
        <f>6696-I22-H22-G22</f>
        <v>1903</v>
      </c>
      <c r="K22" s="5">
        <v>2050</v>
      </c>
      <c r="L22" s="5">
        <v>2366</v>
      </c>
      <c r="M22" s="5">
        <v>2936</v>
      </c>
      <c r="N22" s="5">
        <v>3260</v>
      </c>
      <c r="O22" s="5">
        <v>3750</v>
      </c>
      <c r="P22" s="5">
        <v>3806</v>
      </c>
      <c r="Q22" s="5">
        <v>3833</v>
      </c>
      <c r="R22" s="5">
        <v>3620</v>
      </c>
      <c r="S22" s="5">
        <f>+S21+S20</f>
        <v>4284</v>
      </c>
      <c r="T22" s="2">
        <f>+T21+T20</f>
        <v>10323</v>
      </c>
      <c r="U22" s="2">
        <f>+U21+U20</f>
        <v>14514</v>
      </c>
      <c r="V22" s="5">
        <f>47525-U22-T22-S22</f>
        <v>18404</v>
      </c>
      <c r="W22" s="2">
        <f>+W21+W20</f>
        <v>22563</v>
      </c>
      <c r="X22" s="2">
        <f>+X21+X20</f>
        <v>26272</v>
      </c>
      <c r="Y22" s="2">
        <f>+Y21+Y20</f>
        <v>30771</v>
      </c>
      <c r="Z22" s="2">
        <f>+Z21+Z20</f>
        <v>35580</v>
      </c>
      <c r="AA22" s="2">
        <f>+AA21+AA20</f>
        <v>39112</v>
      </c>
      <c r="AB22" s="2">
        <v>41096</v>
      </c>
      <c r="AC22" s="2">
        <v>51200</v>
      </c>
      <c r="AD22" s="2">
        <f>+Z22*1.65</f>
        <v>58707</v>
      </c>
      <c r="BJ22" s="2">
        <v>2932</v>
      </c>
      <c r="BK22" s="2">
        <v>2983</v>
      </c>
      <c r="BL22" s="2">
        <v>6696</v>
      </c>
      <c r="BM22" s="2">
        <f>SUM(K22:N22)</f>
        <v>10612</v>
      </c>
      <c r="BN22" s="2">
        <f>SUM(O22:R22)</f>
        <v>15009</v>
      </c>
      <c r="BO22" s="2">
        <f>+BO21+BO20</f>
        <v>47525</v>
      </c>
      <c r="BP22" s="2">
        <f>+BP21+BP20</f>
        <v>115186</v>
      </c>
    </row>
    <row r="23" spans="2:78" s="2" customFormat="1" x14ac:dyDescent="0.25">
      <c r="B23" s="2" t="s">
        <v>19</v>
      </c>
      <c r="C23" s="5">
        <v>1055</v>
      </c>
      <c r="D23" s="5">
        <v>1313</v>
      </c>
      <c r="E23" s="5">
        <v>1659</v>
      </c>
      <c r="F23" s="5">
        <f>+BK23-E23-D23-C23</f>
        <v>1491</v>
      </c>
      <c r="G23" s="5">
        <v>1339</v>
      </c>
      <c r="H23" s="5">
        <v>1654</v>
      </c>
      <c r="I23" s="5">
        <v>2271</v>
      </c>
      <c r="J23" s="5">
        <f>7759-I23-H23-G23</f>
        <v>2495</v>
      </c>
      <c r="K23" s="5">
        <v>2760</v>
      </c>
      <c r="L23" s="5">
        <v>3061</v>
      </c>
      <c r="M23" s="5">
        <v>3221</v>
      </c>
      <c r="N23" s="5">
        <v>3420</v>
      </c>
      <c r="O23" s="5">
        <v>3620</v>
      </c>
      <c r="P23" s="5">
        <v>2042</v>
      </c>
      <c r="Q23" s="5">
        <v>1574</v>
      </c>
      <c r="R23" s="5">
        <v>1830</v>
      </c>
      <c r="S23" s="5">
        <v>2240</v>
      </c>
      <c r="T23" s="5">
        <v>2486</v>
      </c>
      <c r="U23" s="2">
        <v>2856</v>
      </c>
      <c r="V23" s="2">
        <v>2865</v>
      </c>
      <c r="W23" s="5">
        <v>2647</v>
      </c>
      <c r="X23" s="2">
        <v>2880</v>
      </c>
      <c r="Y23" s="2">
        <v>3279</v>
      </c>
      <c r="Z23" s="2">
        <v>2544</v>
      </c>
      <c r="AA23" s="2">
        <v>3800</v>
      </c>
      <c r="AB23" s="2">
        <v>4287</v>
      </c>
      <c r="AC23" s="2">
        <v>4300</v>
      </c>
      <c r="AD23" s="2">
        <f>+Z23*1.6</f>
        <v>4070.4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J23" s="2">
        <v>6246</v>
      </c>
      <c r="BK23" s="2">
        <v>5518</v>
      </c>
      <c r="BL23" s="2">
        <v>7759</v>
      </c>
      <c r="BM23" s="2">
        <f>SUM(K23:N23)</f>
        <v>12462</v>
      </c>
      <c r="BN23" s="2">
        <f>SUM(O23:R23)</f>
        <v>9066</v>
      </c>
      <c r="BO23" s="2">
        <f>SUM(S23:V23)</f>
        <v>10447</v>
      </c>
      <c r="BP23" s="2">
        <f>SUM(W23:Z23)</f>
        <v>11350</v>
      </c>
    </row>
    <row r="24" spans="2:78" s="8" customFormat="1" ht="13" x14ac:dyDescent="0.3">
      <c r="B24" s="8" t="s">
        <v>1</v>
      </c>
      <c r="C24" s="9">
        <v>2220</v>
      </c>
      <c r="D24" s="9">
        <f>SUM(D17:D23)</f>
        <v>2579</v>
      </c>
      <c r="E24" s="9">
        <f>SUM(E17:E23)</f>
        <v>3014</v>
      </c>
      <c r="F24" s="9">
        <f>+BK24-E24-D24-C24</f>
        <v>3105</v>
      </c>
      <c r="G24" s="9">
        <v>3080</v>
      </c>
      <c r="H24" s="9">
        <f>SUM(H17:H23)</f>
        <v>3866</v>
      </c>
      <c r="I24" s="9">
        <f>SUM(I17:I23)</f>
        <v>4726</v>
      </c>
      <c r="J24" s="9">
        <v>5003</v>
      </c>
      <c r="K24" s="9">
        <v>5661</v>
      </c>
      <c r="L24" s="9">
        <f>SUM(L17:L23)</f>
        <v>6507</v>
      </c>
      <c r="M24" s="9">
        <f>SUM(M17:M23)</f>
        <v>7103</v>
      </c>
      <c r="N24" s="9">
        <v>7643</v>
      </c>
      <c r="O24" s="9">
        <f>SUM(O17:O23)</f>
        <v>8288</v>
      </c>
      <c r="P24" s="9">
        <f>SUM(P17:P23)</f>
        <v>6704</v>
      </c>
      <c r="Q24" s="9">
        <f>SUM(Q17:Q23)</f>
        <v>5931</v>
      </c>
      <c r="R24" s="9">
        <v>6051</v>
      </c>
      <c r="S24" s="8">
        <f>+S23+S22+S19+S18+S17</f>
        <v>7192</v>
      </c>
      <c r="T24" s="8">
        <f>+T23+T22+T19+T18+T17</f>
        <v>13507</v>
      </c>
      <c r="U24" s="9">
        <f>+U23+U22+U19+U18+U17</f>
        <v>18120</v>
      </c>
      <c r="V24" s="9">
        <f>+V23+V22+V17+V18+V19</f>
        <v>22103</v>
      </c>
      <c r="W24" s="9">
        <f t="shared" ref="W24:AB24" si="6">+W23+W22+W19+W18+W17</f>
        <v>26044</v>
      </c>
      <c r="X24" s="9">
        <f t="shared" si="6"/>
        <v>30040</v>
      </c>
      <c r="Y24" s="9">
        <f t="shared" si="6"/>
        <v>35082</v>
      </c>
      <c r="Z24" s="9">
        <f>+Z23+Z22+Z19+Z18+Z17</f>
        <v>39331</v>
      </c>
      <c r="AA24" s="9">
        <f t="shared" si="6"/>
        <v>44062</v>
      </c>
      <c r="AB24" s="9">
        <f t="shared" si="6"/>
        <v>46743</v>
      </c>
      <c r="AC24" s="9">
        <v>57006</v>
      </c>
      <c r="AD24" s="9">
        <v>68100</v>
      </c>
      <c r="AE24" s="9">
        <v>81615</v>
      </c>
      <c r="AF24" s="9">
        <v>91000</v>
      </c>
      <c r="AG24" s="9">
        <v>95000</v>
      </c>
      <c r="AH24" s="9">
        <v>100000</v>
      </c>
      <c r="AI24" s="9"/>
      <c r="AJ24" s="9"/>
      <c r="AK24" s="9"/>
      <c r="AL24" s="9">
        <v>1.1819999999999999</v>
      </c>
      <c r="AM24" s="9">
        <v>3.9119999999999999</v>
      </c>
      <c r="AN24" s="9">
        <v>29.071000000000002</v>
      </c>
      <c r="AO24" s="9">
        <v>13.3</v>
      </c>
      <c r="AP24" s="9">
        <v>158.23699999999999</v>
      </c>
      <c r="AQ24" s="9">
        <v>374.505</v>
      </c>
      <c r="AR24" s="9">
        <v>735.26400000000001</v>
      </c>
      <c r="AS24" s="9">
        <v>1369.471</v>
      </c>
      <c r="AT24" s="9">
        <v>1909.4469999999999</v>
      </c>
      <c r="AU24" s="9">
        <v>1822.9449999999999</v>
      </c>
      <c r="AV24" s="9">
        <v>2010.0329999999999</v>
      </c>
      <c r="AW24" s="9">
        <v>2375.6869999999999</v>
      </c>
      <c r="AX24" s="9">
        <v>3068.7710000000002</v>
      </c>
      <c r="AY24" s="9">
        <v>4097.8599999999997</v>
      </c>
      <c r="AZ24" s="9">
        <v>3424.8589999999999</v>
      </c>
      <c r="BA24" s="9">
        <v>3326.4450000000002</v>
      </c>
      <c r="BB24" s="8">
        <v>3543.3090000000002</v>
      </c>
      <c r="BC24" s="8">
        <v>3997.93</v>
      </c>
      <c r="BD24" s="8">
        <v>4280.1589999999997</v>
      </c>
      <c r="BE24" s="8">
        <v>4130</v>
      </c>
      <c r="BF24" s="8">
        <v>4682</v>
      </c>
      <c r="BG24" s="8">
        <v>5010</v>
      </c>
      <c r="BH24" s="8">
        <v>6910</v>
      </c>
      <c r="BI24" s="8">
        <v>9714</v>
      </c>
      <c r="BJ24" s="8">
        <f t="shared" ref="BJ24:BP24" si="7">+BJ23+BJ22+BJ19+BJ18+BJ17</f>
        <v>11716</v>
      </c>
      <c r="BK24" s="8">
        <f t="shared" si="7"/>
        <v>10918</v>
      </c>
      <c r="BL24" s="8">
        <f t="shared" si="7"/>
        <v>16675</v>
      </c>
      <c r="BM24" s="8">
        <f t="shared" si="7"/>
        <v>26913</v>
      </c>
      <c r="BN24" s="8">
        <f t="shared" si="7"/>
        <v>26977</v>
      </c>
      <c r="BO24" s="8">
        <f t="shared" si="7"/>
        <v>60922</v>
      </c>
      <c r="BP24" s="8">
        <f t="shared" si="7"/>
        <v>130497</v>
      </c>
      <c r="BQ24" s="8">
        <f>SUM(AA24:AD24)</f>
        <v>215911</v>
      </c>
      <c r="BR24" s="8">
        <f>SUM(AE24:AH24)</f>
        <v>367615</v>
      </c>
      <c r="BS24" s="8">
        <f>+BR24*1.7</f>
        <v>624945.5</v>
      </c>
      <c r="BT24" s="8">
        <f>+BS24*1.4</f>
        <v>874923.7</v>
      </c>
      <c r="BU24" s="8">
        <f>+BT24*1.3</f>
        <v>1137400.81</v>
      </c>
      <c r="BV24" s="8">
        <f>+BU24*1.3</f>
        <v>1478621.0530000001</v>
      </c>
      <c r="BW24" s="8">
        <f t="shared" ref="BW24:BZ24" si="8">+BV24*1.3</f>
        <v>1922207.3689000001</v>
      </c>
      <c r="BX24" s="8">
        <f t="shared" si="8"/>
        <v>2498869.5795700001</v>
      </c>
      <c r="BY24" s="8">
        <f t="shared" si="8"/>
        <v>3248530.4534410001</v>
      </c>
      <c r="BZ24" s="8">
        <f t="shared" si="8"/>
        <v>4223089.5894733006</v>
      </c>
    </row>
    <row r="25" spans="2:78" s="2" customFormat="1" x14ac:dyDescent="0.25">
      <c r="B25" s="2" t="s">
        <v>4</v>
      </c>
      <c r="C25" s="5">
        <v>924</v>
      </c>
      <c r="D25" s="5">
        <v>1038</v>
      </c>
      <c r="E25" s="5">
        <v>1098</v>
      </c>
      <c r="F25" s="5">
        <f>+BK25-E25-D25-C25</f>
        <v>1090</v>
      </c>
      <c r="G25" s="5">
        <v>1076</v>
      </c>
      <c r="H25" s="5">
        <v>1591</v>
      </c>
      <c r="I25" s="5">
        <v>1766</v>
      </c>
      <c r="J25" s="5">
        <v>1846</v>
      </c>
      <c r="K25" s="5">
        <v>2032</v>
      </c>
      <c r="L25" s="5">
        <v>2292</v>
      </c>
      <c r="M25" s="5">
        <v>2472</v>
      </c>
      <c r="N25" s="5">
        <v>2644</v>
      </c>
      <c r="O25" s="5">
        <v>2857</v>
      </c>
      <c r="P25" s="5">
        <v>3789</v>
      </c>
      <c r="Q25" s="5">
        <v>2754</v>
      </c>
      <c r="R25" s="5">
        <f>+BN25-Q25-P25-O25</f>
        <v>2218</v>
      </c>
      <c r="S25" s="5">
        <v>2544</v>
      </c>
      <c r="T25" s="2">
        <v>4045</v>
      </c>
      <c r="U25" s="2">
        <v>4720</v>
      </c>
      <c r="V25" s="2">
        <v>5312</v>
      </c>
      <c r="W25" s="2">
        <v>5638</v>
      </c>
      <c r="X25" s="2">
        <v>7466</v>
      </c>
      <c r="Y25" s="2">
        <v>8926</v>
      </c>
      <c r="Z25" s="2">
        <v>10608</v>
      </c>
      <c r="AA25" s="2">
        <v>17394</v>
      </c>
      <c r="AB25" s="2">
        <v>12890</v>
      </c>
      <c r="AC25" s="2">
        <v>15157</v>
      </c>
      <c r="AD25" s="2">
        <v>17034</v>
      </c>
      <c r="AE25" s="2">
        <v>20458</v>
      </c>
      <c r="AQ25" s="2">
        <v>141.84299999999999</v>
      </c>
      <c r="AR25" s="2">
        <v>272.87900000000002</v>
      </c>
      <c r="AS25" s="2">
        <v>519.23800000000006</v>
      </c>
      <c r="AT25" s="2">
        <v>1327.271</v>
      </c>
      <c r="AU25" s="2">
        <v>1294.067</v>
      </c>
      <c r="AV25" s="2">
        <v>1360.547</v>
      </c>
      <c r="AW25" s="2">
        <v>1465.654</v>
      </c>
      <c r="AX25" s="2">
        <v>1768.3219999999999</v>
      </c>
      <c r="AY25" s="2">
        <v>2228.58</v>
      </c>
      <c r="AZ25" s="2">
        <v>2250.59</v>
      </c>
      <c r="BA25" s="2">
        <v>2149.5219999999999</v>
      </c>
      <c r="BB25" s="2">
        <v>2134.2190000000001</v>
      </c>
      <c r="BC25" s="2">
        <v>1941.413</v>
      </c>
      <c r="BD25" s="2">
        <v>2053.8159999999998</v>
      </c>
      <c r="BE25" s="2">
        <v>1862</v>
      </c>
      <c r="BF25" s="2">
        <v>2083</v>
      </c>
      <c r="BG25" s="2">
        <v>2199</v>
      </c>
      <c r="BH25" s="2">
        <v>2847</v>
      </c>
      <c r="BI25" s="2">
        <v>3892</v>
      </c>
      <c r="BJ25" s="2">
        <v>4545</v>
      </c>
      <c r="BK25" s="2">
        <v>4150</v>
      </c>
      <c r="BL25" s="2">
        <v>6279</v>
      </c>
      <c r="BM25" s="2">
        <f>SUM(K25:N25)</f>
        <v>9440</v>
      </c>
      <c r="BN25" s="2">
        <v>11618</v>
      </c>
      <c r="BO25" s="2">
        <f>SUM(S25:V25)</f>
        <v>16621</v>
      </c>
      <c r="BP25" s="2">
        <f>+BP24-BP26</f>
        <v>32638</v>
      </c>
      <c r="BQ25" s="2">
        <f>+BQ24-BQ26</f>
        <v>62475</v>
      </c>
      <c r="BR25" s="2">
        <f>+BR24-BR26</f>
        <v>91903.75</v>
      </c>
      <c r="BS25" s="2">
        <f t="shared" ref="BS25:BT25" si="9">+BS24-BS26</f>
        <v>137488.01</v>
      </c>
      <c r="BT25" s="2">
        <f t="shared" si="9"/>
        <v>192483.21399999992</v>
      </c>
      <c r="BU25" s="2">
        <f t="shared" ref="BU25" si="10">+BU24-BU26</f>
        <v>250228.17819999997</v>
      </c>
      <c r="BV25" s="2">
        <f t="shared" ref="BV25" si="11">+BV24-BV26</f>
        <v>325296.63165999996</v>
      </c>
    </row>
    <row r="26" spans="2:78" s="2" customFormat="1" x14ac:dyDescent="0.25">
      <c r="B26" s="2" t="s">
        <v>5</v>
      </c>
      <c r="C26" s="5">
        <f t="shared" ref="C26:F26" si="12">+C24-C25</f>
        <v>1296</v>
      </c>
      <c r="D26" s="5">
        <f t="shared" si="12"/>
        <v>1541</v>
      </c>
      <c r="E26" s="5">
        <f t="shared" si="12"/>
        <v>1916</v>
      </c>
      <c r="F26" s="5">
        <f t="shared" si="12"/>
        <v>2015</v>
      </c>
      <c r="G26" s="5">
        <f t="shared" ref="G26:S26" si="13">+G24-G25</f>
        <v>2004</v>
      </c>
      <c r="H26" s="5">
        <f t="shared" si="13"/>
        <v>2275</v>
      </c>
      <c r="I26" s="5">
        <f t="shared" si="13"/>
        <v>2960</v>
      </c>
      <c r="J26" s="5">
        <f t="shared" si="13"/>
        <v>3157</v>
      </c>
      <c r="K26" s="5">
        <f t="shared" si="13"/>
        <v>3629</v>
      </c>
      <c r="L26" s="5">
        <f t="shared" si="13"/>
        <v>4215</v>
      </c>
      <c r="M26" s="5">
        <f t="shared" si="13"/>
        <v>4631</v>
      </c>
      <c r="N26" s="5">
        <f t="shared" si="13"/>
        <v>4999</v>
      </c>
      <c r="O26" s="5">
        <f t="shared" si="13"/>
        <v>5431</v>
      </c>
      <c r="P26" s="5">
        <f t="shared" si="13"/>
        <v>2915</v>
      </c>
      <c r="Q26" s="5">
        <f t="shared" si="13"/>
        <v>3177</v>
      </c>
      <c r="R26" s="5">
        <f t="shared" si="13"/>
        <v>3833</v>
      </c>
      <c r="S26" s="5">
        <f t="shared" si="13"/>
        <v>4648</v>
      </c>
      <c r="T26" s="2">
        <f>T24-T25</f>
        <v>9462</v>
      </c>
      <c r="U26" s="2">
        <f t="shared" ref="U26:Z26" si="14">+U24-U25</f>
        <v>13400</v>
      </c>
      <c r="V26" s="2">
        <f t="shared" si="14"/>
        <v>16791</v>
      </c>
      <c r="W26" s="2">
        <f t="shared" si="14"/>
        <v>20406</v>
      </c>
      <c r="X26" s="2">
        <f t="shared" si="14"/>
        <v>22574</v>
      </c>
      <c r="Y26" s="2">
        <f t="shared" si="14"/>
        <v>26156</v>
      </c>
      <c r="Z26" s="2">
        <f t="shared" si="14"/>
        <v>28723</v>
      </c>
      <c r="AA26" s="2">
        <f>+AA24-AA25</f>
        <v>26668</v>
      </c>
      <c r="AB26" s="2">
        <f>+AB24-AB25</f>
        <v>33853</v>
      </c>
      <c r="AC26" s="2">
        <f>+AC24-AC25</f>
        <v>41849</v>
      </c>
      <c r="AD26" s="2">
        <f>+AD24-AD25</f>
        <v>51066</v>
      </c>
      <c r="AE26" s="2">
        <f>+AE24-AE25</f>
        <v>61157</v>
      </c>
      <c r="AF26" s="2">
        <f>+AF24*0.75</f>
        <v>68250</v>
      </c>
      <c r="AQ26" s="2">
        <f t="shared" ref="AQ26:AR26" si="15">+AQ24-AQ25</f>
        <v>232.66200000000001</v>
      </c>
      <c r="AR26" s="2">
        <f t="shared" si="15"/>
        <v>462.38499999999999</v>
      </c>
      <c r="AS26" s="2">
        <f t="shared" ref="AS26:AV26" si="16">+AS24-AS25</f>
        <v>850.23299999999995</v>
      </c>
      <c r="AT26" s="2">
        <f t="shared" si="16"/>
        <v>582.17599999999993</v>
      </c>
      <c r="AU26" s="2">
        <f t="shared" si="16"/>
        <v>528.87799999999993</v>
      </c>
      <c r="AV26" s="2">
        <f t="shared" si="16"/>
        <v>649.48599999999988</v>
      </c>
      <c r="AW26" s="2">
        <f>+AW24-AW25</f>
        <v>910.0329999999999</v>
      </c>
      <c r="AX26" s="2">
        <f>+AX24-AX25</f>
        <v>1300.4490000000003</v>
      </c>
      <c r="AY26" s="2">
        <f>+AY24-AY25</f>
        <v>1869.2799999999997</v>
      </c>
      <c r="AZ26" s="2">
        <f>+AZ24-AZ25</f>
        <v>1174.2689999999998</v>
      </c>
      <c r="BA26" s="2">
        <f>+BA24-BA25</f>
        <v>1176.9230000000002</v>
      </c>
      <c r="BB26" s="2">
        <f t="shared" ref="BB26:BO26" si="17">+BB24-BB25</f>
        <v>1409.0900000000001</v>
      </c>
      <c r="BC26" s="2">
        <f t="shared" si="17"/>
        <v>2056.5169999999998</v>
      </c>
      <c r="BD26" s="2">
        <f t="shared" si="17"/>
        <v>2226.3429999999998</v>
      </c>
      <c r="BE26" s="2">
        <f t="shared" si="17"/>
        <v>2268</v>
      </c>
      <c r="BF26" s="2">
        <f t="shared" si="17"/>
        <v>2599</v>
      </c>
      <c r="BG26" s="2">
        <f t="shared" si="17"/>
        <v>2811</v>
      </c>
      <c r="BH26" s="2">
        <f t="shared" si="17"/>
        <v>4063</v>
      </c>
      <c r="BI26" s="2">
        <f t="shared" si="17"/>
        <v>5822</v>
      </c>
      <c r="BJ26" s="2">
        <f t="shared" si="17"/>
        <v>7171</v>
      </c>
      <c r="BK26" s="2">
        <f t="shared" si="17"/>
        <v>6768</v>
      </c>
      <c r="BL26" s="2">
        <f t="shared" si="17"/>
        <v>10396</v>
      </c>
      <c r="BM26" s="2">
        <f t="shared" si="17"/>
        <v>17473</v>
      </c>
      <c r="BN26" s="2">
        <f t="shared" si="17"/>
        <v>15359</v>
      </c>
      <c r="BO26" s="2">
        <f t="shared" si="17"/>
        <v>44301</v>
      </c>
      <c r="BP26" s="2">
        <f>SUM(W26:Z26)</f>
        <v>97859</v>
      </c>
      <c r="BQ26" s="2">
        <f>SUM(AA26:AD26)</f>
        <v>153436</v>
      </c>
      <c r="BR26" s="2">
        <f>+BR24*0.75</f>
        <v>275711.25</v>
      </c>
      <c r="BS26" s="2">
        <f>+BS24*0.78</f>
        <v>487457.49</v>
      </c>
      <c r="BT26" s="2">
        <f>+BT24*0.78</f>
        <v>682440.48600000003</v>
      </c>
      <c r="BU26" s="2">
        <f t="shared" ref="BU26:BV26" si="18">+BU24*0.78</f>
        <v>887172.63180000009</v>
      </c>
      <c r="BV26" s="2">
        <f t="shared" si="18"/>
        <v>1153324.4213400001</v>
      </c>
    </row>
    <row r="27" spans="2:78" s="2" customFormat="1" x14ac:dyDescent="0.25">
      <c r="B27" s="2" t="s">
        <v>6</v>
      </c>
      <c r="C27" s="5">
        <v>674</v>
      </c>
      <c r="D27" s="5">
        <v>704</v>
      </c>
      <c r="E27" s="5">
        <v>712</v>
      </c>
      <c r="F27" s="5">
        <f t="shared" ref="F27:F28" si="19">+BK27-E27-D27-C27</f>
        <v>739</v>
      </c>
      <c r="G27" s="5">
        <v>735</v>
      </c>
      <c r="H27" s="5">
        <v>997</v>
      </c>
      <c r="I27" s="5">
        <v>1047</v>
      </c>
      <c r="J27" s="5">
        <v>1147</v>
      </c>
      <c r="K27" s="5">
        <v>1153</v>
      </c>
      <c r="L27" s="5">
        <v>1245</v>
      </c>
      <c r="M27" s="5">
        <v>1403</v>
      </c>
      <c r="N27" s="5">
        <v>1466</v>
      </c>
      <c r="O27" s="5">
        <v>1618</v>
      </c>
      <c r="P27" s="5">
        <v>1824</v>
      </c>
      <c r="Q27" s="5">
        <v>1945</v>
      </c>
      <c r="R27" s="5">
        <f t="shared" ref="R27:R28" si="20">+BN27-Q27-P27-O27</f>
        <v>1952</v>
      </c>
      <c r="S27" s="5">
        <v>1875</v>
      </c>
      <c r="T27" s="2">
        <v>2040</v>
      </c>
      <c r="U27" s="2">
        <v>2294</v>
      </c>
      <c r="V27" s="2">
        <v>2465</v>
      </c>
      <c r="W27" s="2">
        <v>2720</v>
      </c>
      <c r="X27" s="2">
        <v>3090</v>
      </c>
      <c r="Y27" s="2">
        <v>3390</v>
      </c>
      <c r="Z27" s="2">
        <v>3714</v>
      </c>
      <c r="AA27" s="2">
        <v>3989</v>
      </c>
      <c r="AB27" s="2">
        <v>4291</v>
      </c>
      <c r="AC27" s="2">
        <v>4705</v>
      </c>
      <c r="AD27" s="2">
        <v>5512</v>
      </c>
      <c r="AE27" s="2">
        <v>6321</v>
      </c>
      <c r="AF27" s="2">
        <f>+AE27</f>
        <v>6321</v>
      </c>
      <c r="AT27" s="2">
        <v>224.87299999999999</v>
      </c>
      <c r="AU27" s="2">
        <v>269.97199999999998</v>
      </c>
      <c r="AV27" s="2">
        <v>335.10399999999998</v>
      </c>
      <c r="AW27" s="2">
        <v>357.12299999999999</v>
      </c>
      <c r="AX27" s="2">
        <v>553.46699999999998</v>
      </c>
      <c r="AY27" s="2">
        <v>691.63699999999994</v>
      </c>
      <c r="AZ27" s="2">
        <v>855.87900000000002</v>
      </c>
      <c r="BA27" s="2">
        <v>908.851</v>
      </c>
      <c r="BB27" s="2">
        <v>848.83</v>
      </c>
      <c r="BC27" s="2">
        <v>1002.605</v>
      </c>
      <c r="BD27" s="2">
        <v>1147.2819999999999</v>
      </c>
      <c r="BE27" s="2">
        <v>1336</v>
      </c>
      <c r="BF27" s="2">
        <v>1360</v>
      </c>
      <c r="BG27" s="2">
        <v>1331</v>
      </c>
      <c r="BH27" s="2">
        <v>1463</v>
      </c>
      <c r="BI27" s="2">
        <v>1797</v>
      </c>
      <c r="BJ27" s="2">
        <v>2376</v>
      </c>
      <c r="BK27" s="2">
        <v>2829</v>
      </c>
      <c r="BL27" s="2">
        <v>3924</v>
      </c>
      <c r="BM27" s="2">
        <f>SUM(K27:N27)</f>
        <v>5267</v>
      </c>
      <c r="BN27" s="2">
        <v>7339</v>
      </c>
      <c r="BO27" s="2">
        <f>SUM(S27:V27)</f>
        <v>8674</v>
      </c>
      <c r="BP27" s="2">
        <f>SUM(W27:Z27)</f>
        <v>12914</v>
      </c>
      <c r="BQ27" s="2">
        <f>SUM(AA27:AD27)</f>
        <v>18497</v>
      </c>
      <c r="BR27" s="2">
        <f>+BQ27*1.2</f>
        <v>22196.399999999998</v>
      </c>
      <c r="BS27" s="2">
        <f t="shared" ref="BS27:BT27" si="21">+BR27*1.2</f>
        <v>26635.679999999997</v>
      </c>
      <c r="BT27" s="2">
        <f t="shared" si="21"/>
        <v>31962.815999999995</v>
      </c>
      <c r="BU27" s="2">
        <f t="shared" ref="BU27:BV27" si="22">+BT27*1.2</f>
        <v>38355.379199999996</v>
      </c>
      <c r="BV27" s="2">
        <f t="shared" si="22"/>
        <v>46026.455039999993</v>
      </c>
    </row>
    <row r="28" spans="2:78" s="2" customFormat="1" x14ac:dyDescent="0.25">
      <c r="B28" s="2" t="s">
        <v>7</v>
      </c>
      <c r="C28" s="5">
        <v>264</v>
      </c>
      <c r="D28" s="5">
        <v>266</v>
      </c>
      <c r="E28" s="5">
        <v>277</v>
      </c>
      <c r="F28" s="5">
        <f t="shared" si="19"/>
        <v>286</v>
      </c>
      <c r="G28" s="5">
        <v>293</v>
      </c>
      <c r="H28" s="5">
        <v>627</v>
      </c>
      <c r="I28" s="5">
        <v>515</v>
      </c>
      <c r="J28" s="5">
        <v>503</v>
      </c>
      <c r="K28" s="5">
        <v>520</v>
      </c>
      <c r="L28" s="5">
        <v>526</v>
      </c>
      <c r="M28" s="5">
        <v>557</v>
      </c>
      <c r="N28" s="5">
        <v>563</v>
      </c>
      <c r="O28" s="5">
        <v>592</v>
      </c>
      <c r="P28" s="5">
        <v>592</v>
      </c>
      <c r="Q28" s="5">
        <v>631</v>
      </c>
      <c r="R28" s="5">
        <f t="shared" si="20"/>
        <v>625</v>
      </c>
      <c r="S28" s="5">
        <v>633</v>
      </c>
      <c r="T28" s="2">
        <v>622</v>
      </c>
      <c r="U28" s="2">
        <v>689</v>
      </c>
      <c r="V28" s="2">
        <v>711</v>
      </c>
      <c r="W28" s="2">
        <v>777</v>
      </c>
      <c r="X28" s="2">
        <v>842</v>
      </c>
      <c r="Y28" s="2">
        <v>897</v>
      </c>
      <c r="Z28" s="2">
        <v>975</v>
      </c>
      <c r="AA28" s="2">
        <v>1041</v>
      </c>
      <c r="AB28" s="2">
        <v>1122</v>
      </c>
      <c r="AC28" s="2">
        <v>1134</v>
      </c>
      <c r="AD28" s="2">
        <v>1282</v>
      </c>
      <c r="AE28" s="2">
        <v>1300</v>
      </c>
      <c r="AF28" s="2">
        <f>+AE28</f>
        <v>1300</v>
      </c>
      <c r="AT28" s="2">
        <v>151.48500000000001</v>
      </c>
      <c r="AU28" s="2">
        <v>165.249</v>
      </c>
      <c r="AV28" s="2">
        <v>200.78899999999999</v>
      </c>
      <c r="AW28" s="2">
        <v>202.08799999999999</v>
      </c>
      <c r="AX28" s="2">
        <v>293.52999999999997</v>
      </c>
      <c r="AY28" s="2">
        <v>341.29700000000003</v>
      </c>
      <c r="AZ28" s="2">
        <v>362.22199999999998</v>
      </c>
      <c r="BA28" s="2">
        <v>367.017</v>
      </c>
      <c r="BB28" s="2">
        <v>361.51299999999998</v>
      </c>
      <c r="BC28" s="2">
        <v>405.613</v>
      </c>
      <c r="BD28" s="2">
        <v>430.822</v>
      </c>
      <c r="BE28" s="2">
        <v>436</v>
      </c>
      <c r="BF28" s="2">
        <v>480</v>
      </c>
      <c r="BG28" s="2">
        <v>602</v>
      </c>
      <c r="BH28" s="2">
        <v>663</v>
      </c>
      <c r="BI28" s="2">
        <v>815</v>
      </c>
      <c r="BJ28" s="2">
        <v>991</v>
      </c>
      <c r="BK28" s="2">
        <v>1093</v>
      </c>
      <c r="BL28" s="2">
        <v>1940</v>
      </c>
      <c r="BM28" s="2">
        <f>SUM(K28:N28)</f>
        <v>2166</v>
      </c>
      <c r="BN28" s="2">
        <v>2440</v>
      </c>
      <c r="BO28" s="2">
        <f>SUM(S28:V28)</f>
        <v>2655</v>
      </c>
      <c r="BP28" s="2">
        <f>SUM(W28:Z28)</f>
        <v>3491</v>
      </c>
      <c r="BQ28" s="2">
        <f>SUM(AA28:AD28)</f>
        <v>4579</v>
      </c>
      <c r="BR28" s="2">
        <f>+BQ28*1.2</f>
        <v>5494.8</v>
      </c>
      <c r="BS28" s="2">
        <f t="shared" ref="BS28:BT28" si="23">+BR28*1.2</f>
        <v>6593.76</v>
      </c>
      <c r="BT28" s="2">
        <f t="shared" si="23"/>
        <v>7912.5119999999997</v>
      </c>
      <c r="BU28" s="2">
        <f t="shared" ref="BU28:BV28" si="24">+BT28*1.2</f>
        <v>9495.0144</v>
      </c>
      <c r="BV28" s="2">
        <f t="shared" si="24"/>
        <v>11394.01728</v>
      </c>
    </row>
    <row r="29" spans="2:78" s="2" customFormat="1" x14ac:dyDescent="0.25">
      <c r="B29" s="2" t="s">
        <v>3</v>
      </c>
      <c r="C29" s="5">
        <f t="shared" ref="C29:F29" si="25">+C27+C28</f>
        <v>938</v>
      </c>
      <c r="D29" s="5">
        <f t="shared" si="25"/>
        <v>970</v>
      </c>
      <c r="E29" s="5">
        <f t="shared" si="25"/>
        <v>989</v>
      </c>
      <c r="F29" s="5">
        <f t="shared" si="25"/>
        <v>1025</v>
      </c>
      <c r="G29" s="5">
        <f t="shared" ref="G29:I29" si="26">+G27+G28</f>
        <v>1028</v>
      </c>
      <c r="H29" s="5">
        <f t="shared" ref="H29" si="27">+H27+H28</f>
        <v>1624</v>
      </c>
      <c r="I29" s="5">
        <f t="shared" si="26"/>
        <v>1562</v>
      </c>
      <c r="J29" s="5">
        <f t="shared" ref="J29" si="28">+J27+J28</f>
        <v>1650</v>
      </c>
      <c r="K29" s="5">
        <f t="shared" ref="K29:M29" si="29">+K27+K28</f>
        <v>1673</v>
      </c>
      <c r="L29" s="5">
        <f t="shared" si="29"/>
        <v>1771</v>
      </c>
      <c r="M29" s="5">
        <f t="shared" si="29"/>
        <v>1960</v>
      </c>
      <c r="N29" s="5">
        <f t="shared" ref="N29" si="30">+N27+N28</f>
        <v>2029</v>
      </c>
      <c r="O29" s="5">
        <f>+O27+O28</f>
        <v>2210</v>
      </c>
      <c r="P29" s="5">
        <f t="shared" ref="P29" si="31">+P27+P28</f>
        <v>2416</v>
      </c>
      <c r="Q29" s="5">
        <f>+Q27+Q28</f>
        <v>2576</v>
      </c>
      <c r="R29" s="5">
        <f>+R27+R28</f>
        <v>2577</v>
      </c>
      <c r="S29" s="5">
        <f>+S27+S28</f>
        <v>2508</v>
      </c>
      <c r="T29" s="5">
        <f>+T27+T28</f>
        <v>2662</v>
      </c>
      <c r="U29" s="5">
        <f t="shared" ref="U29:W29" si="32">+U27+U28</f>
        <v>2983</v>
      </c>
      <c r="V29" s="5">
        <f t="shared" si="32"/>
        <v>3176</v>
      </c>
      <c r="W29" s="5">
        <f t="shared" si="32"/>
        <v>3497</v>
      </c>
      <c r="X29" s="5">
        <f t="shared" ref="X29:Z29" si="33">+X27+X28</f>
        <v>3932</v>
      </c>
      <c r="Y29" s="5">
        <f t="shared" si="33"/>
        <v>4287</v>
      </c>
      <c r="Z29" s="5">
        <f t="shared" si="33"/>
        <v>4689</v>
      </c>
      <c r="AA29" s="5">
        <f t="shared" ref="AA29:AF29" si="34">+AA27+AA28</f>
        <v>5030</v>
      </c>
      <c r="AB29" s="5">
        <f t="shared" si="34"/>
        <v>5413</v>
      </c>
      <c r="AC29" s="5">
        <f>+AC27+AC28</f>
        <v>5839</v>
      </c>
      <c r="AD29" s="5">
        <f t="shared" si="34"/>
        <v>6794</v>
      </c>
      <c r="AE29" s="5">
        <f t="shared" si="34"/>
        <v>7621</v>
      </c>
      <c r="AF29" s="5">
        <f t="shared" si="34"/>
        <v>7621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2">
        <f t="shared" ref="AQ29" si="35">+AQ27+AQ28</f>
        <v>0</v>
      </c>
      <c r="AR29" s="2">
        <f t="shared" ref="AR29:AS29" si="36">+AR27+AR28</f>
        <v>0</v>
      </c>
      <c r="AS29" s="2">
        <f t="shared" si="36"/>
        <v>0</v>
      </c>
      <c r="AT29" s="2">
        <f t="shared" ref="AT29:AU29" si="37">+AT27+AT28</f>
        <v>376.358</v>
      </c>
      <c r="AU29" s="2">
        <f t="shared" si="37"/>
        <v>435.221</v>
      </c>
      <c r="AV29" s="2">
        <f t="shared" ref="AV29:BA29" si="38">+AV27+AV28</f>
        <v>535.89300000000003</v>
      </c>
      <c r="AW29" s="2">
        <f t="shared" si="38"/>
        <v>559.21100000000001</v>
      </c>
      <c r="AX29" s="2">
        <f t="shared" si="38"/>
        <v>846.99699999999996</v>
      </c>
      <c r="AY29" s="2">
        <f t="shared" si="38"/>
        <v>1032.934</v>
      </c>
      <c r="AZ29" s="2">
        <f t="shared" si="38"/>
        <v>1218.1010000000001</v>
      </c>
      <c r="BA29" s="2">
        <f t="shared" si="38"/>
        <v>1275.8679999999999</v>
      </c>
      <c r="BB29" s="2">
        <f t="shared" ref="BB29:BN29" si="39">+BB27+BB28</f>
        <v>1210.3430000000001</v>
      </c>
      <c r="BC29" s="2">
        <f t="shared" si="39"/>
        <v>1408.2180000000001</v>
      </c>
      <c r="BD29" s="2">
        <f t="shared" si="39"/>
        <v>1578.1039999999998</v>
      </c>
      <c r="BE29" s="2">
        <f t="shared" si="39"/>
        <v>1772</v>
      </c>
      <c r="BF29" s="2">
        <f t="shared" si="39"/>
        <v>1840</v>
      </c>
      <c r="BG29" s="2">
        <f t="shared" si="39"/>
        <v>1933</v>
      </c>
      <c r="BH29" s="2">
        <f t="shared" si="39"/>
        <v>2126</v>
      </c>
      <c r="BI29" s="2">
        <f t="shared" si="39"/>
        <v>2612</v>
      </c>
      <c r="BJ29" s="2">
        <f t="shared" si="39"/>
        <v>3367</v>
      </c>
      <c r="BK29" s="2">
        <f t="shared" si="39"/>
        <v>3922</v>
      </c>
      <c r="BL29" s="2">
        <f t="shared" si="39"/>
        <v>5864</v>
      </c>
      <c r="BM29" s="2">
        <f t="shared" si="39"/>
        <v>7433</v>
      </c>
      <c r="BN29" s="2">
        <f t="shared" si="39"/>
        <v>9779</v>
      </c>
      <c r="BO29" s="2">
        <f>SUM(S29:V29)</f>
        <v>11329</v>
      </c>
      <c r="BP29" s="2">
        <f>+BP27+BP28</f>
        <v>16405</v>
      </c>
      <c r="BQ29" s="2">
        <f t="shared" ref="BQ29:BT29" si="40">+BQ27+BQ28</f>
        <v>23076</v>
      </c>
      <c r="BR29" s="2">
        <f>+BR27+BR28</f>
        <v>27691.199999999997</v>
      </c>
      <c r="BS29" s="2">
        <f t="shared" si="40"/>
        <v>33229.439999999995</v>
      </c>
      <c r="BT29" s="2">
        <f t="shared" si="40"/>
        <v>39875.327999999994</v>
      </c>
      <c r="BU29" s="2">
        <f t="shared" ref="BU29" si="41">+BU27+BU28</f>
        <v>47850.393599999996</v>
      </c>
      <c r="BV29" s="2">
        <f t="shared" ref="BV29" si="42">+BV27+BV28</f>
        <v>57420.472319999993</v>
      </c>
    </row>
    <row r="30" spans="2:78" s="2" customFormat="1" x14ac:dyDescent="0.25">
      <c r="B30" s="2" t="s">
        <v>2</v>
      </c>
      <c r="C30" s="5">
        <f t="shared" ref="C30:F30" si="43">+C26-C29</f>
        <v>358</v>
      </c>
      <c r="D30" s="5">
        <f t="shared" si="43"/>
        <v>571</v>
      </c>
      <c r="E30" s="5">
        <f t="shared" si="43"/>
        <v>927</v>
      </c>
      <c r="F30" s="5">
        <f t="shared" si="43"/>
        <v>990</v>
      </c>
      <c r="G30" s="5">
        <f t="shared" ref="G30:I30" si="44">+G26-G29</f>
        <v>976</v>
      </c>
      <c r="H30" s="5">
        <f t="shared" ref="H30" si="45">+H26-H29</f>
        <v>651</v>
      </c>
      <c r="I30" s="5">
        <f t="shared" si="44"/>
        <v>1398</v>
      </c>
      <c r="J30" s="5">
        <f t="shared" ref="J30" si="46">+J26-J29</f>
        <v>1507</v>
      </c>
      <c r="K30" s="5">
        <f t="shared" ref="K30:M30" si="47">+K26-K29</f>
        <v>1956</v>
      </c>
      <c r="L30" s="5">
        <f t="shared" si="47"/>
        <v>2444</v>
      </c>
      <c r="M30" s="5">
        <f t="shared" si="47"/>
        <v>2671</v>
      </c>
      <c r="N30" s="5">
        <f t="shared" ref="N30" si="48">+N26-N29</f>
        <v>2970</v>
      </c>
      <c r="O30" s="5">
        <f>+O26-O29</f>
        <v>3221</v>
      </c>
      <c r="P30" s="5">
        <f t="shared" ref="P30" si="49">+P26-P29</f>
        <v>499</v>
      </c>
      <c r="Q30" s="5">
        <f>+Q26-Q29</f>
        <v>601</v>
      </c>
      <c r="R30" s="5">
        <f>+R26-R29</f>
        <v>1256</v>
      </c>
      <c r="S30" s="5">
        <f>+S26-S29</f>
        <v>2140</v>
      </c>
      <c r="T30" s="5">
        <f>+T26-T29</f>
        <v>6800</v>
      </c>
      <c r="U30" s="5">
        <f t="shared" ref="U30:W30" si="50">+U26-U29</f>
        <v>10417</v>
      </c>
      <c r="V30" s="5">
        <f t="shared" si="50"/>
        <v>13615</v>
      </c>
      <c r="W30" s="5">
        <f t="shared" si="50"/>
        <v>16909</v>
      </c>
      <c r="X30" s="5">
        <f t="shared" ref="X30:Z30" si="51">+X26-X29</f>
        <v>18642</v>
      </c>
      <c r="Y30" s="5">
        <f t="shared" si="51"/>
        <v>21869</v>
      </c>
      <c r="Z30" s="5">
        <f t="shared" si="51"/>
        <v>24034</v>
      </c>
      <c r="AA30" s="5">
        <f t="shared" ref="AA30:AF30" si="52">+AA26-AA29</f>
        <v>21638</v>
      </c>
      <c r="AB30" s="5">
        <f t="shared" si="52"/>
        <v>28440</v>
      </c>
      <c r="AC30" s="5">
        <f>+AC26-AC29</f>
        <v>36010</v>
      </c>
      <c r="AD30" s="5">
        <f t="shared" si="52"/>
        <v>44272</v>
      </c>
      <c r="AE30" s="5">
        <f t="shared" si="52"/>
        <v>53536</v>
      </c>
      <c r="AF30" s="5">
        <f t="shared" si="52"/>
        <v>60629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2">
        <f t="shared" ref="AQ30" si="53">+AQ26-AQ29</f>
        <v>232.66200000000001</v>
      </c>
      <c r="AR30" s="2">
        <f t="shared" ref="AR30:AS30" si="54">+AR26-AR29</f>
        <v>462.38499999999999</v>
      </c>
      <c r="AS30" s="2">
        <f t="shared" si="54"/>
        <v>850.23299999999995</v>
      </c>
      <c r="AT30" s="2">
        <f t="shared" ref="AT30:AU30" si="55">+AT26-AT29</f>
        <v>205.81799999999993</v>
      </c>
      <c r="AU30" s="2">
        <f t="shared" si="55"/>
        <v>93.656999999999925</v>
      </c>
      <c r="AV30" s="2">
        <f t="shared" ref="AV30:BA30" si="56">+AV26-AV29</f>
        <v>113.59299999999985</v>
      </c>
      <c r="AW30" s="2">
        <f t="shared" si="56"/>
        <v>350.82199999999989</v>
      </c>
      <c r="AX30" s="2">
        <f t="shared" si="56"/>
        <v>453.45200000000034</v>
      </c>
      <c r="AY30" s="2">
        <f t="shared" si="56"/>
        <v>836.34599999999978</v>
      </c>
      <c r="AZ30" s="2">
        <f t="shared" si="56"/>
        <v>-43.832000000000335</v>
      </c>
      <c r="BA30" s="2">
        <f t="shared" si="56"/>
        <v>-98.944999999999709</v>
      </c>
      <c r="BB30" s="2">
        <f t="shared" ref="BB30:BP30" si="57">+BB26-BB29</f>
        <v>198.74700000000007</v>
      </c>
      <c r="BC30" s="2">
        <f t="shared" si="57"/>
        <v>648.29899999999975</v>
      </c>
      <c r="BD30" s="2">
        <f t="shared" si="57"/>
        <v>648.23900000000003</v>
      </c>
      <c r="BE30" s="2">
        <f t="shared" si="57"/>
        <v>496</v>
      </c>
      <c r="BF30" s="2">
        <f t="shared" si="57"/>
        <v>759</v>
      </c>
      <c r="BG30" s="2">
        <f t="shared" si="57"/>
        <v>878</v>
      </c>
      <c r="BH30" s="2">
        <f t="shared" si="57"/>
        <v>1937</v>
      </c>
      <c r="BI30" s="2">
        <f t="shared" si="57"/>
        <v>3210</v>
      </c>
      <c r="BJ30" s="2">
        <f t="shared" si="57"/>
        <v>3804</v>
      </c>
      <c r="BK30" s="2">
        <f t="shared" si="57"/>
        <v>2846</v>
      </c>
      <c r="BL30" s="2">
        <f t="shared" si="57"/>
        <v>4532</v>
      </c>
      <c r="BM30" s="2">
        <f t="shared" si="57"/>
        <v>10040</v>
      </c>
      <c r="BN30" s="2">
        <f t="shared" si="57"/>
        <v>5580</v>
      </c>
      <c r="BO30" s="2">
        <f t="shared" si="57"/>
        <v>32972</v>
      </c>
      <c r="BP30" s="2">
        <f t="shared" si="57"/>
        <v>81454</v>
      </c>
      <c r="BQ30" s="2">
        <f t="shared" ref="BQ30:BT30" si="58">+BQ26-BQ29</f>
        <v>130360</v>
      </c>
      <c r="BR30" s="2">
        <f>+BR26-BR29</f>
        <v>248020.05</v>
      </c>
      <c r="BS30" s="2">
        <f t="shared" si="58"/>
        <v>454228.05</v>
      </c>
      <c r="BT30" s="2">
        <f t="shared" si="58"/>
        <v>642565.15800000005</v>
      </c>
      <c r="BU30" s="2">
        <f t="shared" ref="BU30" si="59">+BU26-BU29</f>
        <v>839322.23820000014</v>
      </c>
      <c r="BV30" s="2">
        <f t="shared" ref="BV30" si="60">+BV26-BV29</f>
        <v>1095903.9490200002</v>
      </c>
    </row>
    <row r="31" spans="2:78" s="2" customFormat="1" x14ac:dyDescent="0.25">
      <c r="B31" s="2" t="s">
        <v>11</v>
      </c>
      <c r="C31" s="5">
        <f>44-13</f>
        <v>31</v>
      </c>
      <c r="D31" s="5">
        <f>47-13+1</f>
        <v>35</v>
      </c>
      <c r="E31" s="5">
        <f>45-13</f>
        <v>32</v>
      </c>
      <c r="F31" s="5">
        <f>+BK31-E31-D31-C31</f>
        <v>26</v>
      </c>
      <c r="G31" s="5">
        <v>5</v>
      </c>
      <c r="H31" s="5">
        <v>-42</v>
      </c>
      <c r="I31" s="5">
        <f>7-53-4</f>
        <v>-50</v>
      </c>
      <c r="J31" s="5">
        <v>-37</v>
      </c>
      <c r="K31" s="5">
        <v>88</v>
      </c>
      <c r="L31" s="5">
        <v>-50</v>
      </c>
      <c r="M31" s="5">
        <v>-33</v>
      </c>
      <c r="N31" s="5">
        <v>-105</v>
      </c>
      <c r="O31" s="5">
        <f>18-68-13</f>
        <v>-63</v>
      </c>
      <c r="P31" s="5">
        <v>-24</v>
      </c>
      <c r="Q31" s="5">
        <v>12</v>
      </c>
      <c r="R31" s="5">
        <f t="shared" ref="R31" si="61">+BN31-Q31-P31-O31</f>
        <v>32</v>
      </c>
      <c r="S31" s="5">
        <f>150-66-15</f>
        <v>69</v>
      </c>
      <c r="T31" s="2">
        <f>187-65+59</f>
        <v>181</v>
      </c>
      <c r="U31" s="2">
        <f>234-63-66</f>
        <v>105</v>
      </c>
      <c r="V31" s="2">
        <v>491</v>
      </c>
      <c r="W31" s="2">
        <f>359-64+75</f>
        <v>370</v>
      </c>
      <c r="X31" s="2">
        <v>572</v>
      </c>
      <c r="Y31" s="2">
        <f>472-61+36</f>
        <v>447</v>
      </c>
      <c r="Z31" s="2">
        <f>511-61+733</f>
        <v>1183</v>
      </c>
      <c r="AA31" s="2">
        <f>515-63-180</f>
        <v>272</v>
      </c>
      <c r="AB31" s="2">
        <f>592-62+2236</f>
        <v>2766</v>
      </c>
      <c r="AC31" s="2">
        <f>624-61</f>
        <v>563</v>
      </c>
      <c r="AD31" s="2">
        <f>568-74</f>
        <v>494</v>
      </c>
      <c r="AE31" s="2">
        <f>+AD31</f>
        <v>494</v>
      </c>
      <c r="AF31" s="2">
        <f>+AE31</f>
        <v>494</v>
      </c>
      <c r="AQ31" s="2">
        <v>23.245999999999999</v>
      </c>
      <c r="AR31" s="2">
        <v>23.245999999999999</v>
      </c>
      <c r="AS31" s="2">
        <v>23.245999999999999</v>
      </c>
      <c r="AT31" s="2">
        <v>23.245999999999999</v>
      </c>
      <c r="AU31" s="2">
        <v>18.561</v>
      </c>
      <c r="AV31" s="2">
        <v>11.422000000000001</v>
      </c>
      <c r="AW31" s="2">
        <v>20.698</v>
      </c>
      <c r="AX31" s="2">
        <v>41.82</v>
      </c>
      <c r="AY31" s="2">
        <v>64.289000000000001</v>
      </c>
      <c r="AZ31" s="2">
        <f>42.859-0.406</f>
        <v>42.453000000000003</v>
      </c>
      <c r="BA31" s="2">
        <v>23.114999999999998</v>
      </c>
      <c r="BB31" s="2">
        <f>19.057-3.127-0.508</f>
        <v>15.422000000000001</v>
      </c>
      <c r="BC31" s="2">
        <f>19.149-3.089-0.963</f>
        <v>15.097000000000003</v>
      </c>
      <c r="BD31" s="2">
        <f>19.908-3.294-2.814</f>
        <v>13.8</v>
      </c>
      <c r="BE31" s="2">
        <v>14</v>
      </c>
      <c r="BF31" s="2">
        <v>14</v>
      </c>
      <c r="BG31" s="2">
        <v>-4</v>
      </c>
      <c r="BH31" s="2">
        <v>-29</v>
      </c>
      <c r="BI31" s="2">
        <v>-14</v>
      </c>
      <c r="BJ31" s="2">
        <v>92</v>
      </c>
      <c r="BK31" s="2">
        <v>124</v>
      </c>
      <c r="BL31" s="2">
        <v>-123</v>
      </c>
      <c r="BM31" s="2">
        <f>SUM(K31:N31)</f>
        <v>-100</v>
      </c>
      <c r="BN31" s="2">
        <f>267-262-48</f>
        <v>-43</v>
      </c>
      <c r="BO31" s="2">
        <f>SUM(S31:V31)</f>
        <v>846</v>
      </c>
      <c r="BP31" s="2">
        <f>SUM(W31:Z31)</f>
        <v>2572</v>
      </c>
      <c r="BQ31" s="2">
        <f>SUM(AA31:AD31)</f>
        <v>4095</v>
      </c>
      <c r="BR31" s="2">
        <f>+BQ31*1.1</f>
        <v>4504.5</v>
      </c>
      <c r="BS31" s="2">
        <f>+BR31*1.1</f>
        <v>4954.9500000000007</v>
      </c>
      <c r="BT31" s="2">
        <f>+BS31*1.1</f>
        <v>5450.4450000000015</v>
      </c>
      <c r="BU31" s="2">
        <f t="shared" ref="BU31:BV31" si="62">+BT31*1.1</f>
        <v>5995.4895000000024</v>
      </c>
      <c r="BV31" s="2">
        <f t="shared" si="62"/>
        <v>6595.0384500000027</v>
      </c>
    </row>
    <row r="32" spans="2:78" s="2" customFormat="1" x14ac:dyDescent="0.25">
      <c r="B32" s="2" t="s">
        <v>10</v>
      </c>
      <c r="C32" s="5">
        <f t="shared" ref="C32:F32" si="63">+C30+C31</f>
        <v>389</v>
      </c>
      <c r="D32" s="5">
        <f t="shared" si="63"/>
        <v>606</v>
      </c>
      <c r="E32" s="5">
        <f t="shared" si="63"/>
        <v>959</v>
      </c>
      <c r="F32" s="5">
        <f t="shared" si="63"/>
        <v>1016</v>
      </c>
      <c r="G32" s="5">
        <f t="shared" ref="G32:T32" si="64">+G30+G31</f>
        <v>981</v>
      </c>
      <c r="H32" s="5">
        <f t="shared" si="64"/>
        <v>609</v>
      </c>
      <c r="I32" s="5">
        <f t="shared" si="64"/>
        <v>1348</v>
      </c>
      <c r="J32" s="5">
        <f t="shared" si="64"/>
        <v>1470</v>
      </c>
      <c r="K32" s="5">
        <f t="shared" si="64"/>
        <v>2044</v>
      </c>
      <c r="L32" s="5">
        <f t="shared" si="64"/>
        <v>2394</v>
      </c>
      <c r="M32" s="5">
        <f t="shared" si="64"/>
        <v>2638</v>
      </c>
      <c r="N32" s="5">
        <f t="shared" si="64"/>
        <v>2865</v>
      </c>
      <c r="O32" s="5">
        <f t="shared" si="64"/>
        <v>3158</v>
      </c>
      <c r="P32" s="5">
        <f t="shared" si="64"/>
        <v>475</v>
      </c>
      <c r="Q32" s="5">
        <f t="shared" si="64"/>
        <v>613</v>
      </c>
      <c r="R32" s="5">
        <f t="shared" si="64"/>
        <v>1288</v>
      </c>
      <c r="S32" s="5">
        <f t="shared" si="64"/>
        <v>2209</v>
      </c>
      <c r="T32" s="5">
        <f t="shared" si="64"/>
        <v>6981</v>
      </c>
      <c r="U32" s="5">
        <f t="shared" ref="U32:AF32" si="65">+U30+U31</f>
        <v>10522</v>
      </c>
      <c r="V32" s="5">
        <f t="shared" si="65"/>
        <v>14106</v>
      </c>
      <c r="W32" s="5">
        <f t="shared" si="65"/>
        <v>17279</v>
      </c>
      <c r="X32" s="5">
        <f>+X30+X31</f>
        <v>19214</v>
      </c>
      <c r="Y32" s="5">
        <f t="shared" si="65"/>
        <v>22316</v>
      </c>
      <c r="Z32" s="5">
        <f t="shared" si="65"/>
        <v>25217</v>
      </c>
      <c r="AA32" s="5">
        <f t="shared" si="65"/>
        <v>21910</v>
      </c>
      <c r="AB32" s="5">
        <f t="shared" si="65"/>
        <v>31206</v>
      </c>
      <c r="AC32" s="5">
        <f t="shared" si="65"/>
        <v>36573</v>
      </c>
      <c r="AD32" s="5">
        <f t="shared" si="65"/>
        <v>44766</v>
      </c>
      <c r="AE32" s="5">
        <f t="shared" si="65"/>
        <v>54030</v>
      </c>
      <c r="AF32" s="5">
        <f t="shared" si="65"/>
        <v>61123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2">
        <f t="shared" ref="AQ32" si="66">+AQ30+AQ31</f>
        <v>255.90800000000002</v>
      </c>
      <c r="AR32" s="2">
        <f t="shared" ref="AR32:AS32" si="67">+AR30+AR31</f>
        <v>485.63099999999997</v>
      </c>
      <c r="AS32" s="2">
        <f t="shared" si="67"/>
        <v>873.47899999999993</v>
      </c>
      <c r="AT32" s="2">
        <f t="shared" ref="AT32:AU32" si="68">+AT30+AT31</f>
        <v>229.06399999999994</v>
      </c>
      <c r="AU32" s="2">
        <f t="shared" si="68"/>
        <v>112.21799999999993</v>
      </c>
      <c r="AV32" s="2">
        <f t="shared" ref="AV32:BA32" si="69">+AV30+AV31</f>
        <v>125.01499999999984</v>
      </c>
      <c r="AW32" s="2">
        <f t="shared" si="69"/>
        <v>371.51999999999987</v>
      </c>
      <c r="AX32" s="2">
        <f t="shared" si="69"/>
        <v>495.27200000000033</v>
      </c>
      <c r="AY32" s="2">
        <f t="shared" si="69"/>
        <v>900.63499999999976</v>
      </c>
      <c r="AZ32" s="2">
        <f t="shared" si="69"/>
        <v>-1.3790000000003317</v>
      </c>
      <c r="BA32" s="2">
        <f t="shared" si="69"/>
        <v>-75.829999999999714</v>
      </c>
      <c r="BB32" s="2">
        <f t="shared" ref="BB32:BP32" si="70">+BB30+BB31</f>
        <v>214.16900000000007</v>
      </c>
      <c r="BC32" s="2">
        <f t="shared" si="70"/>
        <v>663.39599999999973</v>
      </c>
      <c r="BD32" s="2">
        <f t="shared" si="70"/>
        <v>662.03899999999999</v>
      </c>
      <c r="BE32" s="2">
        <f t="shared" si="70"/>
        <v>510</v>
      </c>
      <c r="BF32" s="2">
        <f t="shared" si="70"/>
        <v>773</v>
      </c>
      <c r="BG32" s="2">
        <f t="shared" si="70"/>
        <v>874</v>
      </c>
      <c r="BH32" s="2">
        <f t="shared" si="70"/>
        <v>1908</v>
      </c>
      <c r="BI32" s="2">
        <f t="shared" si="70"/>
        <v>3196</v>
      </c>
      <c r="BJ32" s="2">
        <f t="shared" si="70"/>
        <v>3896</v>
      </c>
      <c r="BK32" s="2">
        <f t="shared" si="70"/>
        <v>2970</v>
      </c>
      <c r="BL32" s="2">
        <f t="shared" si="70"/>
        <v>4409</v>
      </c>
      <c r="BM32" s="2">
        <f t="shared" si="70"/>
        <v>9940</v>
      </c>
      <c r="BN32" s="2">
        <f t="shared" si="70"/>
        <v>5537</v>
      </c>
      <c r="BO32" s="2">
        <f t="shared" si="70"/>
        <v>33818</v>
      </c>
      <c r="BP32" s="2">
        <f t="shared" si="70"/>
        <v>84026</v>
      </c>
      <c r="BQ32" s="2">
        <f t="shared" ref="BQ32:BT32" si="71">+BQ30+BQ31</f>
        <v>134455</v>
      </c>
      <c r="BR32" s="2">
        <f>+BR30+BR31</f>
        <v>252524.55</v>
      </c>
      <c r="BS32" s="2">
        <f t="shared" si="71"/>
        <v>459183</v>
      </c>
      <c r="BT32" s="2">
        <f t="shared" si="71"/>
        <v>648015.603</v>
      </c>
      <c r="BU32" s="2">
        <f t="shared" ref="BU32" si="72">+BU30+BU31</f>
        <v>845317.72770000016</v>
      </c>
      <c r="BV32" s="2">
        <f t="shared" ref="BV32" si="73">+BV30+BV31</f>
        <v>1102498.9874700003</v>
      </c>
    </row>
    <row r="33" spans="2:170" s="2" customFormat="1" x14ac:dyDescent="0.25">
      <c r="B33" s="2" t="s">
        <v>9</v>
      </c>
      <c r="C33" s="5">
        <v>-5</v>
      </c>
      <c r="D33" s="5">
        <v>54</v>
      </c>
      <c r="E33" s="5">
        <v>60</v>
      </c>
      <c r="F33" s="5">
        <f>+BK33-E33-D33-C33</f>
        <v>65</v>
      </c>
      <c r="G33" s="5">
        <v>64</v>
      </c>
      <c r="H33" s="5">
        <v>-13</v>
      </c>
      <c r="I33" s="5">
        <v>12</v>
      </c>
      <c r="J33" s="5">
        <v>13</v>
      </c>
      <c r="K33" s="5">
        <v>132</v>
      </c>
      <c r="L33" s="5">
        <v>20</v>
      </c>
      <c r="M33" s="5">
        <v>174</v>
      </c>
      <c r="N33" s="5">
        <v>-138</v>
      </c>
      <c r="O33" s="5">
        <v>187</v>
      </c>
      <c r="P33" s="5">
        <v>-181</v>
      </c>
      <c r="Q33" s="5">
        <v>-67</v>
      </c>
      <c r="R33" s="5">
        <f t="shared" ref="R33" si="74">+BN33-Q33-P33-O33</f>
        <v>61</v>
      </c>
      <c r="S33" s="5">
        <v>166</v>
      </c>
      <c r="T33" s="2">
        <v>793</v>
      </c>
      <c r="U33" s="2">
        <v>1279</v>
      </c>
      <c r="V33" s="2">
        <v>1821</v>
      </c>
      <c r="W33" s="2">
        <v>2398</v>
      </c>
      <c r="X33" s="2">
        <v>2615</v>
      </c>
      <c r="Y33" s="2">
        <v>3007</v>
      </c>
      <c r="Z33" s="2">
        <v>3126</v>
      </c>
      <c r="AA33" s="2">
        <v>3135</v>
      </c>
      <c r="AB33" s="2">
        <v>4784</v>
      </c>
      <c r="AC33" s="2">
        <v>6026</v>
      </c>
      <c r="AD33" s="2">
        <v>7437</v>
      </c>
      <c r="AE33" s="2">
        <f>+AE32*0.2</f>
        <v>10806</v>
      </c>
      <c r="AF33" s="2">
        <f>+AF32*0.2</f>
        <v>12224.6</v>
      </c>
      <c r="AQ33" s="2">
        <v>59.758000000000003</v>
      </c>
      <c r="AR33" s="2">
        <v>59.758000000000003</v>
      </c>
      <c r="AS33" s="2">
        <v>59.758000000000003</v>
      </c>
      <c r="AT33" s="2">
        <v>59.758000000000003</v>
      </c>
      <c r="AU33" s="2">
        <v>12.254</v>
      </c>
      <c r="AV33" s="2">
        <v>25.088999999999999</v>
      </c>
      <c r="AW33" s="2">
        <v>55.612000000000002</v>
      </c>
      <c r="AX33" s="2">
        <v>46.35</v>
      </c>
      <c r="AY33" s="2">
        <v>103.696</v>
      </c>
      <c r="AZ33" s="2">
        <v>0</v>
      </c>
      <c r="BA33" s="2">
        <v>0</v>
      </c>
      <c r="BB33" s="2">
        <v>18.023</v>
      </c>
      <c r="BC33" s="2">
        <v>82.305999999999997</v>
      </c>
      <c r="BD33" s="2">
        <v>99.503</v>
      </c>
      <c r="BE33" s="2">
        <v>70</v>
      </c>
      <c r="BF33" s="2">
        <v>124</v>
      </c>
      <c r="BG33" s="2">
        <v>129</v>
      </c>
      <c r="BH33" s="2">
        <v>239</v>
      </c>
      <c r="BI33" s="2">
        <v>149</v>
      </c>
      <c r="BJ33" s="2">
        <v>-245</v>
      </c>
      <c r="BK33" s="2">
        <v>174</v>
      </c>
      <c r="BL33" s="2">
        <v>77</v>
      </c>
      <c r="BM33" s="2">
        <f>SUM(K33:N33)</f>
        <v>188</v>
      </c>
      <c r="BN33" s="2">
        <v>0</v>
      </c>
      <c r="BO33" s="2">
        <f>SUM(S33:V33)</f>
        <v>4059</v>
      </c>
      <c r="BP33" s="2">
        <f>SUM(W33:Z33)</f>
        <v>11146</v>
      </c>
      <c r="BQ33" s="2">
        <f>SUM(AA33:AD33)</f>
        <v>21382</v>
      </c>
      <c r="BR33" s="2">
        <f>+BR32*0.2</f>
        <v>50504.91</v>
      </c>
      <c r="BS33" s="2">
        <f t="shared" ref="BS33:BT33" si="75">+BS32*0.2</f>
        <v>91836.6</v>
      </c>
      <c r="BT33" s="2">
        <f t="shared" si="75"/>
        <v>129603.12060000001</v>
      </c>
      <c r="BU33" s="2">
        <f t="shared" ref="BU33" si="76">+BU32*0.2</f>
        <v>169063.54554000005</v>
      </c>
      <c r="BV33" s="2">
        <f t="shared" ref="BV33" si="77">+BV32*0.2</f>
        <v>220499.79749400006</v>
      </c>
    </row>
    <row r="34" spans="2:170" s="2" customFormat="1" x14ac:dyDescent="0.25">
      <c r="B34" s="2" t="s">
        <v>8</v>
      </c>
      <c r="C34" s="5">
        <f t="shared" ref="C34:F34" si="78">+C32-C33</f>
        <v>394</v>
      </c>
      <c r="D34" s="5">
        <f t="shared" si="78"/>
        <v>552</v>
      </c>
      <c r="E34" s="5">
        <f t="shared" si="78"/>
        <v>899</v>
      </c>
      <c r="F34" s="5">
        <f t="shared" si="78"/>
        <v>951</v>
      </c>
      <c r="G34" s="5">
        <f t="shared" ref="G34:S34" si="79">+G32-G33</f>
        <v>917</v>
      </c>
      <c r="H34" s="5">
        <f t="shared" si="79"/>
        <v>622</v>
      </c>
      <c r="I34" s="5">
        <f t="shared" si="79"/>
        <v>1336</v>
      </c>
      <c r="J34" s="5">
        <f t="shared" si="79"/>
        <v>1457</v>
      </c>
      <c r="K34" s="5">
        <f t="shared" si="79"/>
        <v>1912</v>
      </c>
      <c r="L34" s="5">
        <f t="shared" si="79"/>
        <v>2374</v>
      </c>
      <c r="M34" s="5">
        <f t="shared" si="79"/>
        <v>2464</v>
      </c>
      <c r="N34" s="5">
        <f t="shared" si="79"/>
        <v>3003</v>
      </c>
      <c r="O34" s="5">
        <f t="shared" si="79"/>
        <v>2971</v>
      </c>
      <c r="P34" s="5">
        <f t="shared" si="79"/>
        <v>656</v>
      </c>
      <c r="Q34" s="5">
        <f t="shared" si="79"/>
        <v>680</v>
      </c>
      <c r="R34" s="5">
        <f t="shared" si="79"/>
        <v>1227</v>
      </c>
      <c r="S34" s="5">
        <f t="shared" si="79"/>
        <v>2043</v>
      </c>
      <c r="T34" s="2">
        <f>T32-T33</f>
        <v>6188</v>
      </c>
      <c r="U34" s="2">
        <f t="shared" ref="U34" si="80">U32-U33</f>
        <v>9243</v>
      </c>
      <c r="V34" s="2">
        <f>+V32-V33</f>
        <v>12285</v>
      </c>
      <c r="W34" s="2">
        <f>+W32-W33</f>
        <v>14881</v>
      </c>
      <c r="X34" s="2">
        <f t="shared" ref="X34:AF34" si="81">+X32-X33</f>
        <v>16599</v>
      </c>
      <c r="Y34" s="2">
        <f t="shared" si="81"/>
        <v>19309</v>
      </c>
      <c r="Z34" s="2">
        <f t="shared" si="81"/>
        <v>22091</v>
      </c>
      <c r="AA34" s="2">
        <f t="shared" si="81"/>
        <v>18775</v>
      </c>
      <c r="AB34" s="2">
        <f t="shared" si="81"/>
        <v>26422</v>
      </c>
      <c r="AC34" s="2">
        <f t="shared" si="81"/>
        <v>30547</v>
      </c>
      <c r="AD34" s="2">
        <f t="shared" si="81"/>
        <v>37329</v>
      </c>
      <c r="AE34" s="2">
        <f t="shared" si="81"/>
        <v>43224</v>
      </c>
      <c r="AF34" s="2">
        <f t="shared" si="81"/>
        <v>48898.400000000001</v>
      </c>
      <c r="AQ34" s="2">
        <f t="shared" ref="AQ34" si="82">+AQ32-AQ33</f>
        <v>196.15</v>
      </c>
      <c r="AR34" s="2">
        <f t="shared" ref="AR34:AS34" si="83">+AR32-AR33</f>
        <v>425.87299999999999</v>
      </c>
      <c r="AS34" s="2">
        <f t="shared" si="83"/>
        <v>813.72099999999989</v>
      </c>
      <c r="AT34" s="2">
        <f t="shared" ref="AT34:AU34" si="84">+AT32-AT33</f>
        <v>169.30599999999993</v>
      </c>
      <c r="AU34" s="2">
        <f t="shared" si="84"/>
        <v>99.963999999999928</v>
      </c>
      <c r="AV34" s="2">
        <f t="shared" ref="AV34:BA34" si="85">+AV32-AV33</f>
        <v>99.925999999999846</v>
      </c>
      <c r="AW34" s="2">
        <f t="shared" si="85"/>
        <v>315.90799999999984</v>
      </c>
      <c r="AX34" s="2">
        <f t="shared" si="85"/>
        <v>448.92200000000031</v>
      </c>
      <c r="AY34" s="2">
        <f t="shared" si="85"/>
        <v>796.93899999999974</v>
      </c>
      <c r="AZ34" s="2">
        <f t="shared" si="85"/>
        <v>-1.3790000000003317</v>
      </c>
      <c r="BA34" s="2">
        <f t="shared" si="85"/>
        <v>-75.829999999999714</v>
      </c>
      <c r="BB34" s="2">
        <f t="shared" ref="BB34:BP34" si="86">+BB32-BB33</f>
        <v>196.14600000000007</v>
      </c>
      <c r="BC34" s="2">
        <f t="shared" si="86"/>
        <v>581.08999999999969</v>
      </c>
      <c r="BD34" s="2">
        <f t="shared" si="86"/>
        <v>562.53599999999994</v>
      </c>
      <c r="BE34" s="2">
        <f t="shared" si="86"/>
        <v>440</v>
      </c>
      <c r="BF34" s="2">
        <f t="shared" si="86"/>
        <v>649</v>
      </c>
      <c r="BG34" s="2">
        <f t="shared" si="86"/>
        <v>745</v>
      </c>
      <c r="BH34" s="2">
        <f t="shared" si="86"/>
        <v>1669</v>
      </c>
      <c r="BI34" s="2">
        <f t="shared" si="86"/>
        <v>3047</v>
      </c>
      <c r="BJ34" s="2">
        <f t="shared" si="86"/>
        <v>4141</v>
      </c>
      <c r="BK34" s="2">
        <f t="shared" si="86"/>
        <v>2796</v>
      </c>
      <c r="BL34" s="2">
        <f t="shared" si="86"/>
        <v>4332</v>
      </c>
      <c r="BM34" s="2">
        <f t="shared" si="86"/>
        <v>9752</v>
      </c>
      <c r="BN34" s="2">
        <f t="shared" si="86"/>
        <v>5537</v>
      </c>
      <c r="BO34" s="2">
        <f t="shared" si="86"/>
        <v>29759</v>
      </c>
      <c r="BP34" s="2">
        <f t="shared" si="86"/>
        <v>72880</v>
      </c>
      <c r="BQ34" s="2">
        <f t="shared" ref="BQ34:BT34" si="87">+BQ32-BQ33</f>
        <v>113073</v>
      </c>
      <c r="BR34" s="2">
        <f>+BR32-BR33</f>
        <v>202019.63999999998</v>
      </c>
      <c r="BS34" s="2">
        <f t="shared" si="87"/>
        <v>367346.4</v>
      </c>
      <c r="BT34" s="2">
        <f t="shared" si="87"/>
        <v>518412.48239999998</v>
      </c>
      <c r="BU34" s="2">
        <f t="shared" ref="BU34" si="88">+BU32-BU33</f>
        <v>676254.18216000008</v>
      </c>
      <c r="BV34" s="2">
        <f t="shared" ref="BV34" si="89">+BV32-BV33</f>
        <v>881999.18997600023</v>
      </c>
      <c r="BW34" s="2">
        <f t="shared" ref="BW34:DB34" si="90">BV34*(1+$BY$44)</f>
        <v>881999.18997600023</v>
      </c>
      <c r="BX34" s="2">
        <f t="shared" si="90"/>
        <v>881999.18997600023</v>
      </c>
      <c r="BY34" s="2">
        <f t="shared" si="90"/>
        <v>881999.18997600023</v>
      </c>
      <c r="BZ34" s="2">
        <f t="shared" si="90"/>
        <v>881999.18997600023</v>
      </c>
      <c r="CA34" s="2">
        <f t="shared" si="90"/>
        <v>881999.18997600023</v>
      </c>
      <c r="CB34" s="2">
        <f t="shared" si="90"/>
        <v>881999.18997600023</v>
      </c>
      <c r="CC34" s="2">
        <f t="shared" si="90"/>
        <v>881999.18997600023</v>
      </c>
      <c r="CD34" s="2">
        <f t="shared" si="90"/>
        <v>881999.18997600023</v>
      </c>
      <c r="CE34" s="2">
        <f t="shared" si="90"/>
        <v>881999.18997600023</v>
      </c>
      <c r="CF34" s="2">
        <f t="shared" si="90"/>
        <v>881999.18997600023</v>
      </c>
      <c r="CG34" s="2">
        <f t="shared" si="90"/>
        <v>881999.18997600023</v>
      </c>
      <c r="CH34" s="2">
        <f t="shared" si="90"/>
        <v>881999.18997600023</v>
      </c>
      <c r="CI34" s="2">
        <f t="shared" si="90"/>
        <v>881999.18997600023</v>
      </c>
      <c r="CJ34" s="2">
        <f t="shared" si="90"/>
        <v>881999.18997600023</v>
      </c>
      <c r="CK34" s="2">
        <f t="shared" si="90"/>
        <v>881999.18997600023</v>
      </c>
      <c r="CL34" s="2">
        <f t="shared" si="90"/>
        <v>881999.18997600023</v>
      </c>
      <c r="CM34" s="2">
        <f t="shared" si="90"/>
        <v>881999.18997600023</v>
      </c>
      <c r="CN34" s="2">
        <f t="shared" si="90"/>
        <v>881999.18997600023</v>
      </c>
      <c r="CO34" s="2">
        <f t="shared" si="90"/>
        <v>881999.18997600023</v>
      </c>
      <c r="CP34" s="2">
        <f t="shared" si="90"/>
        <v>881999.18997600023</v>
      </c>
      <c r="CQ34" s="2">
        <f t="shared" si="90"/>
        <v>881999.18997600023</v>
      </c>
      <c r="CR34" s="2">
        <f t="shared" si="90"/>
        <v>881999.18997600023</v>
      </c>
      <c r="CS34" s="2">
        <f t="shared" si="90"/>
        <v>881999.18997600023</v>
      </c>
      <c r="CT34" s="2">
        <f t="shared" si="90"/>
        <v>881999.18997600023</v>
      </c>
      <c r="CU34" s="2">
        <f t="shared" si="90"/>
        <v>881999.18997600023</v>
      </c>
      <c r="CV34" s="2">
        <f t="shared" si="90"/>
        <v>881999.18997600023</v>
      </c>
      <c r="CW34" s="2">
        <f t="shared" si="90"/>
        <v>881999.18997600023</v>
      </c>
      <c r="CX34" s="2">
        <f t="shared" si="90"/>
        <v>881999.18997600023</v>
      </c>
      <c r="CY34" s="2">
        <f t="shared" si="90"/>
        <v>881999.18997600023</v>
      </c>
      <c r="CZ34" s="2">
        <f t="shared" si="90"/>
        <v>881999.18997600023</v>
      </c>
      <c r="DA34" s="2">
        <f t="shared" si="90"/>
        <v>881999.18997600023</v>
      </c>
      <c r="DB34" s="2">
        <f t="shared" si="90"/>
        <v>881999.18997600023</v>
      </c>
      <c r="DC34" s="2">
        <f t="shared" ref="DC34:EH34" si="91">DB34*(1+$BY$44)</f>
        <v>881999.18997600023</v>
      </c>
      <c r="DD34" s="2">
        <f t="shared" si="91"/>
        <v>881999.18997600023</v>
      </c>
      <c r="DE34" s="2">
        <f t="shared" si="91"/>
        <v>881999.18997600023</v>
      </c>
      <c r="DF34" s="2">
        <f t="shared" si="91"/>
        <v>881999.18997600023</v>
      </c>
      <c r="DG34" s="2">
        <f t="shared" si="91"/>
        <v>881999.18997600023</v>
      </c>
      <c r="DH34" s="2">
        <f t="shared" si="91"/>
        <v>881999.18997600023</v>
      </c>
      <c r="DI34" s="2">
        <f t="shared" si="91"/>
        <v>881999.18997600023</v>
      </c>
      <c r="DJ34" s="2">
        <f t="shared" si="91"/>
        <v>881999.18997600023</v>
      </c>
      <c r="DK34" s="2">
        <f t="shared" si="91"/>
        <v>881999.18997600023</v>
      </c>
      <c r="DL34" s="2">
        <f t="shared" si="91"/>
        <v>881999.18997600023</v>
      </c>
      <c r="DM34" s="2">
        <f t="shared" si="91"/>
        <v>881999.18997600023</v>
      </c>
      <c r="DN34" s="2">
        <f t="shared" si="91"/>
        <v>881999.18997600023</v>
      </c>
      <c r="DO34" s="2">
        <f t="shared" si="91"/>
        <v>881999.18997600023</v>
      </c>
      <c r="DP34" s="2">
        <f t="shared" si="91"/>
        <v>881999.18997600023</v>
      </c>
      <c r="DQ34" s="2">
        <f t="shared" si="91"/>
        <v>881999.18997600023</v>
      </c>
      <c r="DR34" s="2">
        <f t="shared" si="91"/>
        <v>881999.18997600023</v>
      </c>
      <c r="DS34" s="2">
        <f t="shared" si="91"/>
        <v>881999.18997600023</v>
      </c>
      <c r="DT34" s="2">
        <f t="shared" si="91"/>
        <v>881999.18997600023</v>
      </c>
      <c r="DU34" s="2">
        <f t="shared" si="91"/>
        <v>881999.18997600023</v>
      </c>
      <c r="DV34" s="2">
        <f t="shared" si="91"/>
        <v>881999.18997600023</v>
      </c>
      <c r="DW34" s="2">
        <f t="shared" si="91"/>
        <v>881999.18997600023</v>
      </c>
      <c r="DX34" s="2">
        <f t="shared" si="91"/>
        <v>881999.18997600023</v>
      </c>
      <c r="DY34" s="2">
        <f t="shared" si="91"/>
        <v>881999.18997600023</v>
      </c>
      <c r="DZ34" s="2">
        <f t="shared" si="91"/>
        <v>881999.18997600023</v>
      </c>
      <c r="EA34" s="2">
        <f t="shared" si="91"/>
        <v>881999.18997600023</v>
      </c>
      <c r="EB34" s="2">
        <f t="shared" si="91"/>
        <v>881999.18997600023</v>
      </c>
      <c r="EC34" s="2">
        <f t="shared" si="91"/>
        <v>881999.18997600023</v>
      </c>
      <c r="ED34" s="2">
        <f t="shared" si="91"/>
        <v>881999.18997600023</v>
      </c>
      <c r="EE34" s="2">
        <f t="shared" si="91"/>
        <v>881999.18997600023</v>
      </c>
      <c r="EF34" s="2">
        <f t="shared" si="91"/>
        <v>881999.18997600023</v>
      </c>
      <c r="EG34" s="2">
        <f t="shared" si="91"/>
        <v>881999.18997600023</v>
      </c>
      <c r="EH34" s="2">
        <f t="shared" si="91"/>
        <v>881999.18997600023</v>
      </c>
      <c r="EI34" s="2">
        <f t="shared" ref="EI34:FN34" si="92">EH34*(1+$BY$44)</f>
        <v>881999.18997600023</v>
      </c>
      <c r="EJ34" s="2">
        <f t="shared" si="92"/>
        <v>881999.18997600023</v>
      </c>
      <c r="EK34" s="2">
        <f t="shared" si="92"/>
        <v>881999.18997600023</v>
      </c>
      <c r="EL34" s="2">
        <f t="shared" si="92"/>
        <v>881999.18997600023</v>
      </c>
      <c r="EM34" s="2">
        <f t="shared" si="92"/>
        <v>881999.18997600023</v>
      </c>
      <c r="EN34" s="2">
        <f t="shared" si="92"/>
        <v>881999.18997600023</v>
      </c>
      <c r="EO34" s="2">
        <f t="shared" si="92"/>
        <v>881999.18997600023</v>
      </c>
      <c r="EP34" s="2">
        <f t="shared" si="92"/>
        <v>881999.18997600023</v>
      </c>
      <c r="EQ34" s="2">
        <f t="shared" si="92"/>
        <v>881999.18997600023</v>
      </c>
      <c r="ER34" s="2">
        <f t="shared" si="92"/>
        <v>881999.18997600023</v>
      </c>
      <c r="ES34" s="2">
        <f t="shared" si="92"/>
        <v>881999.18997600023</v>
      </c>
      <c r="ET34" s="2">
        <f t="shared" si="92"/>
        <v>881999.18997600023</v>
      </c>
      <c r="EU34" s="2">
        <f t="shared" si="92"/>
        <v>881999.18997600023</v>
      </c>
      <c r="EV34" s="2">
        <f t="shared" si="92"/>
        <v>881999.18997600023</v>
      </c>
      <c r="EW34" s="2">
        <f t="shared" si="92"/>
        <v>881999.18997600023</v>
      </c>
      <c r="EX34" s="2">
        <f t="shared" si="92"/>
        <v>881999.18997600023</v>
      </c>
      <c r="EY34" s="2">
        <f t="shared" si="92"/>
        <v>881999.18997600023</v>
      </c>
      <c r="EZ34" s="2">
        <f t="shared" si="92"/>
        <v>881999.18997600023</v>
      </c>
      <c r="FA34" s="2">
        <f t="shared" si="92"/>
        <v>881999.18997600023</v>
      </c>
      <c r="FB34" s="2">
        <f t="shared" si="92"/>
        <v>881999.18997600023</v>
      </c>
      <c r="FC34" s="2">
        <f t="shared" si="92"/>
        <v>881999.18997600023</v>
      </c>
      <c r="FD34" s="2">
        <f t="shared" si="92"/>
        <v>881999.18997600023</v>
      </c>
      <c r="FE34" s="2">
        <f t="shared" si="92"/>
        <v>881999.18997600023</v>
      </c>
      <c r="FF34" s="2">
        <f t="shared" si="92"/>
        <v>881999.18997600023</v>
      </c>
      <c r="FG34" s="2">
        <f t="shared" si="92"/>
        <v>881999.18997600023</v>
      </c>
      <c r="FH34" s="2">
        <f t="shared" si="92"/>
        <v>881999.18997600023</v>
      </c>
      <c r="FI34" s="2">
        <f t="shared" si="92"/>
        <v>881999.18997600023</v>
      </c>
      <c r="FJ34" s="2">
        <f t="shared" si="92"/>
        <v>881999.18997600023</v>
      </c>
      <c r="FK34" s="2">
        <f t="shared" si="92"/>
        <v>881999.18997600023</v>
      </c>
      <c r="FL34" s="2">
        <f t="shared" si="92"/>
        <v>881999.18997600023</v>
      </c>
      <c r="FM34" s="2">
        <f t="shared" si="92"/>
        <v>881999.18997600023</v>
      </c>
      <c r="FN34" s="2">
        <f t="shared" si="92"/>
        <v>881999.18997600023</v>
      </c>
    </row>
    <row r="35" spans="2:170" x14ac:dyDescent="0.25">
      <c r="B35" t="s">
        <v>12</v>
      </c>
      <c r="C35" s="6">
        <f t="shared" ref="C35:F35" si="93">+C34/C36</f>
        <v>0.15990259740259741</v>
      </c>
      <c r="D35" s="6">
        <f t="shared" si="93"/>
        <v>0.22402597402597402</v>
      </c>
      <c r="E35" s="6">
        <f t="shared" si="93"/>
        <v>0.36367313915857608</v>
      </c>
      <c r="F35" s="6">
        <f t="shared" si="93"/>
        <v>0.38470873786407767</v>
      </c>
      <c r="G35" s="6">
        <f t="shared" ref="G35:T35" si="94">+G34/G36</f>
        <v>0.36856913183279744</v>
      </c>
      <c r="H35" s="6">
        <f t="shared" si="94"/>
        <v>0.24840255591054314</v>
      </c>
      <c r="I35" s="6">
        <f t="shared" si="94"/>
        <v>0.53015873015873016</v>
      </c>
      <c r="J35" s="6">
        <f t="shared" si="94"/>
        <v>0.57725832012678291</v>
      </c>
      <c r="K35" s="6">
        <f t="shared" si="94"/>
        <v>0.75632911392405067</v>
      </c>
      <c r="L35" s="6">
        <f t="shared" si="94"/>
        <v>0.93759873617693523</v>
      </c>
      <c r="M35" s="6">
        <f t="shared" si="94"/>
        <v>0.97084318360914101</v>
      </c>
      <c r="N35" s="6">
        <f t="shared" si="94"/>
        <v>1.1799607072691551</v>
      </c>
      <c r="O35" s="6">
        <f t="shared" si="94"/>
        <v>1.1710681907765077</v>
      </c>
      <c r="P35" s="6">
        <f t="shared" si="94"/>
        <v>0.26073131955484896</v>
      </c>
      <c r="Q35" s="6">
        <f t="shared" si="94"/>
        <v>0.27210884353741499</v>
      </c>
      <c r="R35" s="6">
        <f t="shared" si="94"/>
        <v>4.894295971280415E-2</v>
      </c>
      <c r="S35" s="6">
        <f t="shared" si="94"/>
        <v>8.2048192771084341E-2</v>
      </c>
      <c r="T35" s="6">
        <f t="shared" si="94"/>
        <v>0.24757941906057454</v>
      </c>
      <c r="U35" s="6">
        <f t="shared" ref="U35:W35" si="95">+U34/U36</f>
        <v>3.7060946271050521</v>
      </c>
      <c r="V35" s="6">
        <f t="shared" si="95"/>
        <v>0.49337349397590363</v>
      </c>
      <c r="W35" s="6">
        <f t="shared" si="95"/>
        <v>5.978706307754118</v>
      </c>
      <c r="X35" s="6">
        <f t="shared" ref="X35:AF35" si="96">+X34/X36</f>
        <v>0.66802157115260785</v>
      </c>
      <c r="Y35" s="6">
        <f t="shared" si="96"/>
        <v>0.77940582869136998</v>
      </c>
      <c r="Z35" s="6">
        <f t="shared" si="96"/>
        <v>0.8941552659273051</v>
      </c>
      <c r="AA35" s="6">
        <f t="shared" si="96"/>
        <v>0.7628702612652879</v>
      </c>
      <c r="AB35" s="6">
        <f t="shared" si="96"/>
        <v>1.0770422305560086</v>
      </c>
      <c r="AC35" s="6">
        <f t="shared" si="96"/>
        <v>1.2476820651064005</v>
      </c>
      <c r="AD35" s="6">
        <f t="shared" si="96"/>
        <v>1.5278732809430255</v>
      </c>
      <c r="AE35" s="6">
        <f t="shared" si="96"/>
        <v>1.769155206286837</v>
      </c>
      <c r="AF35" s="6">
        <f t="shared" si="96"/>
        <v>2.0014079895219385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15">
        <f t="shared" ref="AQ35" si="97">+AQ34/AQ36</f>
        <v>1.1648346427701863</v>
      </c>
      <c r="AR35" s="15">
        <f t="shared" ref="AR35:AS35" si="98">+AR34/AR36</f>
        <v>2.5290421810882875</v>
      </c>
      <c r="AS35" s="15">
        <f t="shared" si="98"/>
        <v>4.8322733130237001</v>
      </c>
      <c r="AT35" s="15">
        <f t="shared" ref="AT35:AU35" si="99">+AT34/AT36</f>
        <v>1.0054218405753204</v>
      </c>
      <c r="AU35" s="15">
        <f t="shared" si="99"/>
        <v>0.57880688101814015</v>
      </c>
      <c r="AV35" s="15">
        <f t="shared" ref="AV35:BA35" si="100">+AV34/AV36</f>
        <v>0.56596699101711534</v>
      </c>
      <c r="AW35" s="15">
        <f t="shared" si="100"/>
        <v>0.62055905867562389</v>
      </c>
      <c r="AX35" s="15">
        <f t="shared" si="100"/>
        <v>0.76444003977822339</v>
      </c>
      <c r="AY35" s="15">
        <f t="shared" si="100"/>
        <v>1.3134942610575999</v>
      </c>
      <c r="AZ35" s="15">
        <f t="shared" si="100"/>
        <v>-2.515844896976848E-3</v>
      </c>
      <c r="BA35" s="15">
        <f t="shared" si="100"/>
        <v>-0.13797959874375373</v>
      </c>
      <c r="BB35" s="15">
        <f t="shared" ref="BB35" si="101">+BB34/BB36</f>
        <v>0.33319403958660349</v>
      </c>
      <c r="BC35" s="15">
        <f t="shared" ref="BC35:BD35" si="102">+BC34/BC36</f>
        <v>0.94276012336725723</v>
      </c>
      <c r="BD35" s="15">
        <f t="shared" si="102"/>
        <v>0.90011952822354169</v>
      </c>
      <c r="BE35" s="15">
        <f t="shared" ref="BE35:BF35" si="103">+BE34/BE36</f>
        <v>0.73949579831932777</v>
      </c>
      <c r="BF35" s="15">
        <f t="shared" si="103"/>
        <v>1.152753108348135</v>
      </c>
      <c r="BG35" s="15">
        <f t="shared" ref="BG35:BH35" si="104">+BG34/BG36</f>
        <v>1.3093145869947276</v>
      </c>
      <c r="BH35" s="15">
        <f t="shared" si="104"/>
        <v>2.5716486902927582</v>
      </c>
      <c r="BI35" s="15">
        <f t="shared" ref="BI35:BJ35" si="105">+BI34/BI36</f>
        <v>4.8212025316455698</v>
      </c>
      <c r="BJ35" s="15">
        <f t="shared" si="105"/>
        <v>6.6256000000000004</v>
      </c>
      <c r="BK35" s="15">
        <f t="shared" ref="BK35:BL35" si="106">+BK34/BK36</f>
        <v>1.1310679611650485</v>
      </c>
      <c r="BL35" s="15">
        <f t="shared" si="106"/>
        <v>1.7258964143426294</v>
      </c>
      <c r="BM35" s="15">
        <f t="shared" ref="BM35:BT35" si="107">+BM34/BM36</f>
        <v>3.8469428007889546</v>
      </c>
      <c r="BN35" s="15">
        <f t="shared" si="107"/>
        <v>0.22086158755484642</v>
      </c>
      <c r="BO35" s="15">
        <f t="shared" si="107"/>
        <v>1.1932237369687249</v>
      </c>
      <c r="BP35" s="15">
        <f t="shared" si="107"/>
        <v>2.9382357684244478</v>
      </c>
      <c r="BQ35" s="15">
        <f t="shared" si="107"/>
        <v>4.6124946460258212</v>
      </c>
      <c r="BR35" s="15">
        <f>+BR34/BR36</f>
        <v>8.2408223704338237</v>
      </c>
      <c r="BS35" s="15">
        <f t="shared" si="107"/>
        <v>14.984862020436886</v>
      </c>
      <c r="BT35" s="15">
        <f t="shared" si="107"/>
        <v>21.147177482714312</v>
      </c>
      <c r="BU35" s="15">
        <f t="shared" ref="BU35:BV35" si="108">+BU34/BU36</f>
        <v>27.58588517652818</v>
      </c>
      <c r="BV35" s="15">
        <f t="shared" si="108"/>
        <v>35.978673437190245</v>
      </c>
      <c r="BW35" s="15"/>
    </row>
    <row r="36" spans="2:170" x14ac:dyDescent="0.25">
      <c r="B36" t="s">
        <v>13</v>
      </c>
      <c r="C36" s="5">
        <f>616*4</f>
        <v>2464</v>
      </c>
      <c r="D36" s="5">
        <f>616*4</f>
        <v>2464</v>
      </c>
      <c r="E36" s="5">
        <f>618*4</f>
        <v>2472</v>
      </c>
      <c r="F36" s="5">
        <f>+BK36</f>
        <v>2472</v>
      </c>
      <c r="G36" s="5">
        <f>622*4</f>
        <v>2488</v>
      </c>
      <c r="H36" s="5">
        <v>2504</v>
      </c>
      <c r="I36" s="5">
        <f>630*4</f>
        <v>2520</v>
      </c>
      <c r="J36" s="5">
        <v>2524</v>
      </c>
      <c r="K36" s="5">
        <v>2528</v>
      </c>
      <c r="L36" s="5">
        <v>2532</v>
      </c>
      <c r="M36" s="5">
        <v>2538</v>
      </c>
      <c r="N36" s="5">
        <v>2545</v>
      </c>
      <c r="O36" s="5">
        <v>2537</v>
      </c>
      <c r="P36" s="5">
        <v>2516</v>
      </c>
      <c r="Q36" s="5">
        <v>2499</v>
      </c>
      <c r="R36" s="5">
        <f>+BN36</f>
        <v>25070</v>
      </c>
      <c r="S36" s="5">
        <f>2490*10</f>
        <v>24900</v>
      </c>
      <c r="T36" s="5">
        <v>24994</v>
      </c>
      <c r="U36" s="5">
        <v>2494</v>
      </c>
      <c r="V36" s="2">
        <f>2490*10</f>
        <v>24900</v>
      </c>
      <c r="W36" s="2">
        <v>2489</v>
      </c>
      <c r="X36" s="2">
        <v>24848</v>
      </c>
      <c r="Y36" s="2">
        <v>24774</v>
      </c>
      <c r="Z36" s="2">
        <v>24706</v>
      </c>
      <c r="AA36" s="2">
        <v>24611</v>
      </c>
      <c r="AB36" s="2">
        <v>24532</v>
      </c>
      <c r="AC36" s="2">
        <v>24483</v>
      </c>
      <c r="AD36" s="2">
        <v>24432</v>
      </c>
      <c r="AE36" s="2">
        <f>+AD36</f>
        <v>24432</v>
      </c>
      <c r="AF36" s="2">
        <f>+AE36</f>
        <v>24432</v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>
        <v>168.393</v>
      </c>
      <c r="AR36" s="2">
        <v>168.393</v>
      </c>
      <c r="AS36" s="2">
        <v>168.393</v>
      </c>
      <c r="AT36" s="2">
        <v>168.393</v>
      </c>
      <c r="AU36" s="2">
        <v>172.70699999999999</v>
      </c>
      <c r="AV36" s="2">
        <v>176.55799999999999</v>
      </c>
      <c r="AW36" s="2">
        <v>509.07</v>
      </c>
      <c r="AX36" s="2">
        <v>587.25599999999997</v>
      </c>
      <c r="AY36" s="2">
        <v>606.73199999999997</v>
      </c>
      <c r="AZ36" s="2">
        <v>548.12599999999998</v>
      </c>
      <c r="BA36" s="2">
        <v>549.57399999999996</v>
      </c>
      <c r="BB36" s="2">
        <v>588.68399999999997</v>
      </c>
      <c r="BC36" s="2">
        <v>616.37099999999998</v>
      </c>
      <c r="BD36" s="2">
        <v>624.95699999999999</v>
      </c>
      <c r="BE36" s="2">
        <v>595</v>
      </c>
      <c r="BF36" s="2">
        <v>563</v>
      </c>
      <c r="BG36" s="2">
        <v>569</v>
      </c>
      <c r="BH36" s="2">
        <v>649</v>
      </c>
      <c r="BI36" s="2">
        <v>632</v>
      </c>
      <c r="BJ36" s="2">
        <v>625</v>
      </c>
      <c r="BK36" s="2">
        <v>2472</v>
      </c>
      <c r="BL36" s="2">
        <v>2510</v>
      </c>
      <c r="BM36" s="2">
        <v>2535</v>
      </c>
      <c r="BN36" s="2">
        <v>25070</v>
      </c>
      <c r="BO36" s="2">
        <v>24940</v>
      </c>
      <c r="BP36" s="2">
        <v>24804</v>
      </c>
      <c r="BQ36" s="2">
        <f>AVERAGE(AA36:AD36)</f>
        <v>24514.5</v>
      </c>
      <c r="BR36" s="2">
        <f>+BQ36</f>
        <v>24514.5</v>
      </c>
      <c r="BS36" s="2">
        <f>+BR36</f>
        <v>24514.5</v>
      </c>
      <c r="BT36" s="2">
        <f>+BS36</f>
        <v>24514.5</v>
      </c>
      <c r="BU36" s="2">
        <f t="shared" ref="BU36:BV36" si="109">+BT36</f>
        <v>24514.5</v>
      </c>
      <c r="BV36" s="2">
        <f t="shared" si="109"/>
        <v>24514.5</v>
      </c>
      <c r="BW36" s="2"/>
    </row>
    <row r="38" spans="2:170" s="11" customFormat="1" ht="13" x14ac:dyDescent="0.3">
      <c r="B38" s="11" t="s">
        <v>71</v>
      </c>
      <c r="C38" s="29"/>
      <c r="D38" s="29"/>
      <c r="E38" s="29"/>
      <c r="F38" s="29"/>
      <c r="G38" s="17">
        <f t="shared" ref="G38" si="110">+G24/C24-1</f>
        <v>0.38738738738738743</v>
      </c>
      <c r="H38" s="17">
        <f t="shared" ref="H38" si="111">+H24/D24-1</f>
        <v>0.49903063202791786</v>
      </c>
      <c r="I38" s="17">
        <f t="shared" ref="I38" si="112">+I24/E24-1</f>
        <v>0.56801592568015935</v>
      </c>
      <c r="J38" s="17">
        <f t="shared" ref="J38" si="113">+J24/F24-1</f>
        <v>0.61127214170692423</v>
      </c>
      <c r="K38" s="17">
        <f t="shared" ref="K38:M38" si="114">+K24/G24-1</f>
        <v>0.83798701298701306</v>
      </c>
      <c r="L38" s="17">
        <f t="shared" si="114"/>
        <v>0.68313502327987585</v>
      </c>
      <c r="M38" s="17">
        <f t="shared" si="114"/>
        <v>0.50296233601354201</v>
      </c>
      <c r="N38" s="17">
        <f t="shared" ref="N38:V38" si="115">+N24/J24-1</f>
        <v>0.52768338996602049</v>
      </c>
      <c r="O38" s="17">
        <f t="shared" si="115"/>
        <v>0.46405228758169925</v>
      </c>
      <c r="P38" s="17">
        <f t="shared" si="115"/>
        <v>3.0275088366374714E-2</v>
      </c>
      <c r="Q38" s="17">
        <f t="shared" si="115"/>
        <v>-0.16500070392791777</v>
      </c>
      <c r="R38" s="17">
        <f t="shared" si="115"/>
        <v>-0.20829517205285886</v>
      </c>
      <c r="S38" s="17">
        <f t="shared" si="115"/>
        <v>-0.13223938223938225</v>
      </c>
      <c r="T38" s="17">
        <f t="shared" si="115"/>
        <v>1.0147673031026252</v>
      </c>
      <c r="U38" s="17">
        <f t="shared" si="115"/>
        <v>2.0551340414769852</v>
      </c>
      <c r="V38" s="17">
        <f t="shared" si="115"/>
        <v>2.6527846636919516</v>
      </c>
      <c r="W38" s="17">
        <f>+W24/S24-1</f>
        <v>2.6212458286985538</v>
      </c>
      <c r="X38" s="17">
        <f t="shared" ref="X38" si="116">+X24/T24-1</f>
        <v>1.2240319834160065</v>
      </c>
      <c r="Y38" s="17">
        <f t="shared" ref="Y38" si="117">+Y24/U24-1</f>
        <v>0.93609271523178816</v>
      </c>
      <c r="Z38" s="17">
        <f t="shared" ref="Z38:AA38" si="118">+Z24/V24-1</f>
        <v>0.77944170474596208</v>
      </c>
      <c r="AA38" s="17">
        <f t="shared" si="118"/>
        <v>0.69182921210259551</v>
      </c>
      <c r="AB38" s="17">
        <f>+AB24/X24-1</f>
        <v>0.5560252996005326</v>
      </c>
      <c r="AC38" s="17">
        <f>+AC24/Y24-1</f>
        <v>0.62493586454592109</v>
      </c>
      <c r="AD38" s="17">
        <f>+AD24/Z24-1</f>
        <v>0.73145864585187259</v>
      </c>
      <c r="AE38" s="17">
        <f t="shared" ref="AE38:AH38" si="119">+AE24/AA24-1</f>
        <v>0.85227633788752222</v>
      </c>
      <c r="AF38" s="17">
        <f t="shared" si="119"/>
        <v>0.94681556596709671</v>
      </c>
      <c r="AG38" s="17">
        <f t="shared" si="119"/>
        <v>0.66649124653545244</v>
      </c>
      <c r="AH38" s="17">
        <f t="shared" si="119"/>
        <v>0.46842878120411169</v>
      </c>
      <c r="AI38" s="17"/>
      <c r="AJ38" s="17"/>
      <c r="AK38" s="17"/>
      <c r="AL38" s="17"/>
      <c r="AM38" s="17"/>
      <c r="AN38" s="17">
        <f t="shared" ref="AN38" si="120">+AN24/AM24-1</f>
        <v>6.4312372188139069</v>
      </c>
      <c r="AO38" s="17">
        <f t="shared" ref="AO38" si="121">+AO24/AN24-1</f>
        <v>-0.54249939802552372</v>
      </c>
      <c r="AP38" s="17">
        <f t="shared" ref="AP38" si="122">+AP24/AO24-1</f>
        <v>10.897518796992481</v>
      </c>
      <c r="AQ38" s="17">
        <f t="shared" ref="AQ38" si="123">+AQ24/AP24-1</f>
        <v>1.3667347080644854</v>
      </c>
      <c r="AR38" s="17">
        <f t="shared" ref="AR38" si="124">+AR24/AQ24-1</f>
        <v>0.96329555012616663</v>
      </c>
      <c r="AS38" s="17">
        <f t="shared" ref="AS38" si="125">+AS24/AR24-1</f>
        <v>0.86255685032858942</v>
      </c>
      <c r="AT38" s="17">
        <f t="shared" ref="AT38" si="126">+AT24/AS24-1</f>
        <v>0.39429531549043384</v>
      </c>
      <c r="AU38" s="17">
        <f t="shared" ref="AU38:AW38" si="127">+AU24/AT24-1</f>
        <v>-4.5302121504288917E-2</v>
      </c>
      <c r="AV38" s="17">
        <f t="shared" si="127"/>
        <v>0.10262953627235039</v>
      </c>
      <c r="AW38" s="17">
        <f t="shared" si="127"/>
        <v>0.18191442628056365</v>
      </c>
      <c r="AX38" s="17">
        <f t="shared" ref="AX38" si="128">+AX24/AW24-1</f>
        <v>0.29174045234073365</v>
      </c>
      <c r="AY38" s="17">
        <f t="shared" ref="AY38" si="129">+AY24/AX24-1</f>
        <v>0.33534238951032824</v>
      </c>
      <c r="AZ38" s="17">
        <f t="shared" ref="AZ38" si="130">+AZ24/AY24-1</f>
        <v>-0.16423230661857646</v>
      </c>
      <c r="BA38" s="17">
        <f t="shared" ref="BA38" si="131">+BA24/AZ24-1</f>
        <v>-2.8735197565797566E-2</v>
      </c>
      <c r="BB38" s="17">
        <f t="shared" ref="BB38" si="132">+BB24/BA24-1</f>
        <v>6.5193923242380381E-2</v>
      </c>
      <c r="BC38" s="17">
        <f t="shared" ref="BC38:BV38" si="133">+BC24/BB24-1</f>
        <v>0.12830407960468571</v>
      </c>
      <c r="BD38" s="17">
        <f t="shared" si="133"/>
        <v>7.0593782282331041E-2</v>
      </c>
      <c r="BE38" s="17">
        <f t="shared" si="133"/>
        <v>-3.5082575203397748E-2</v>
      </c>
      <c r="BF38" s="17">
        <f t="shared" si="133"/>
        <v>0.13365617433414045</v>
      </c>
      <c r="BG38" s="17">
        <f t="shared" si="133"/>
        <v>7.0055531824006811E-2</v>
      </c>
      <c r="BH38" s="17">
        <f t="shared" si="133"/>
        <v>0.37924151696606789</v>
      </c>
      <c r="BI38" s="17">
        <f t="shared" si="133"/>
        <v>0.40578871201157751</v>
      </c>
      <c r="BJ38" s="17">
        <f t="shared" si="133"/>
        <v>0.20609429689108505</v>
      </c>
      <c r="BK38" s="17">
        <f t="shared" si="133"/>
        <v>-6.8111983612154314E-2</v>
      </c>
      <c r="BL38" s="17">
        <f t="shared" si="133"/>
        <v>0.52729437625938824</v>
      </c>
      <c r="BM38" s="17">
        <f t="shared" si="133"/>
        <v>0.61397301349325328</v>
      </c>
      <c r="BN38" s="17">
        <f t="shared" si="133"/>
        <v>2.378032920893336E-3</v>
      </c>
      <c r="BO38" s="17">
        <f t="shared" si="133"/>
        <v>1.2582941023835117</v>
      </c>
      <c r="BP38" s="17">
        <f t="shared" si="133"/>
        <v>1.1420340763599355</v>
      </c>
      <c r="BQ38" s="17">
        <f>+BQ24/BP24-1</f>
        <v>0.65452845659287195</v>
      </c>
      <c r="BR38" s="17">
        <f>+BR24/BQ24-1</f>
        <v>0.70262283996646757</v>
      </c>
      <c r="BS38" s="17">
        <f t="shared" si="133"/>
        <v>0.7</v>
      </c>
      <c r="BT38" s="17">
        <f t="shared" si="133"/>
        <v>0.39999999999999991</v>
      </c>
      <c r="BU38" s="17">
        <f t="shared" si="133"/>
        <v>0.30000000000000004</v>
      </c>
      <c r="BV38" s="17">
        <f t="shared" si="133"/>
        <v>0.30000000000000004</v>
      </c>
      <c r="BW38" s="17"/>
      <c r="BX38" s="17"/>
    </row>
    <row r="39" spans="2:170" x14ac:dyDescent="0.25">
      <c r="B39" t="s">
        <v>72</v>
      </c>
      <c r="D39" s="7">
        <f t="shared" ref="D39" si="134">+D24/C24-1</f>
        <v>0.16171171171171173</v>
      </c>
      <c r="E39" s="7">
        <f t="shared" ref="E39" si="135">+E24/D24-1</f>
        <v>0.16867002714230317</v>
      </c>
      <c r="F39" s="7">
        <f t="shared" ref="F39" si="136">+F24/E24-1</f>
        <v>3.0192435301924281E-2</v>
      </c>
      <c r="G39" s="10">
        <f t="shared" ref="G39:H39" si="137">+G24/F24-1</f>
        <v>-8.0515297906602612E-3</v>
      </c>
      <c r="H39" s="10">
        <f t="shared" si="137"/>
        <v>0.2551948051948052</v>
      </c>
      <c r="I39" s="10">
        <f t="shared" ref="I39" si="138">+I24/H24-1</f>
        <v>0.22245214692188298</v>
      </c>
      <c r="J39" s="10">
        <f t="shared" ref="J39" si="139">+J24/I24-1</f>
        <v>5.8611933982225972E-2</v>
      </c>
      <c r="K39" s="10">
        <f t="shared" ref="K39:V39" si="140">+K24/J24-1</f>
        <v>0.13152108734759138</v>
      </c>
      <c r="L39" s="10">
        <f t="shared" si="140"/>
        <v>0.14944356120826718</v>
      </c>
      <c r="M39" s="10">
        <f t="shared" si="140"/>
        <v>9.1593668357153879E-2</v>
      </c>
      <c r="N39" s="10">
        <f t="shared" si="140"/>
        <v>7.6024215120371608E-2</v>
      </c>
      <c r="O39" s="10">
        <f t="shared" si="140"/>
        <v>8.4390945963626951E-2</v>
      </c>
      <c r="P39" s="10">
        <f t="shared" si="140"/>
        <v>-0.19111969111969107</v>
      </c>
      <c r="Q39" s="10">
        <f t="shared" si="140"/>
        <v>-0.11530429594272074</v>
      </c>
      <c r="R39" s="10">
        <f t="shared" si="140"/>
        <v>2.0232675771370667E-2</v>
      </c>
      <c r="S39" s="10">
        <f t="shared" si="140"/>
        <v>0.1885638737398776</v>
      </c>
      <c r="T39" s="10">
        <f t="shared" si="140"/>
        <v>0.87805895439377091</v>
      </c>
      <c r="U39" s="10">
        <f t="shared" si="140"/>
        <v>0.34152661582882948</v>
      </c>
      <c r="V39" s="10">
        <f t="shared" si="140"/>
        <v>0.21981236203090515</v>
      </c>
      <c r="W39" s="10">
        <f>+W24/V24-1</f>
        <v>0.17830158801972584</v>
      </c>
      <c r="X39" s="10">
        <f t="shared" ref="X39" si="141">+X24/W24-1</f>
        <v>0.1534326524343419</v>
      </c>
      <c r="Y39" s="10">
        <f t="shared" ref="Y39" si="142">+Y24/X24-1</f>
        <v>0.16784287616511318</v>
      </c>
      <c r="Z39" s="10">
        <f t="shared" ref="Z39" si="143">+Z24/Y24-1</f>
        <v>0.12111624194743742</v>
      </c>
      <c r="AA39" s="10">
        <f t="shared" ref="AA39" si="144">+AA24/Z24-1</f>
        <v>0.12028679667437903</v>
      </c>
      <c r="AB39" s="10">
        <f t="shared" ref="AB39" si="145">+AB24/AA24-1</f>
        <v>6.0846080522899637E-2</v>
      </c>
      <c r="AC39" s="10">
        <f t="shared" ref="AC39" si="146">+AC24/AB24-1</f>
        <v>0.21956228740132211</v>
      </c>
      <c r="AD39" s="10">
        <f>+AD24/AC24-1</f>
        <v>0.19461109356909789</v>
      </c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</row>
    <row r="40" spans="2:170" x14ac:dyDescent="0.25">
      <c r="B40" t="s">
        <v>73</v>
      </c>
      <c r="D40" s="10"/>
      <c r="E40" s="10">
        <f t="shared" ref="E40" si="147">+E22/D22-1</f>
        <v>0.10839694656488552</v>
      </c>
      <c r="F40" s="10">
        <f t="shared" ref="F40" si="148">+F22/E22-1</f>
        <v>0.33333333333333326</v>
      </c>
      <c r="G40" s="10">
        <f t="shared" ref="G40" si="149">+G22/F22-1</f>
        <v>0.17871900826446274</v>
      </c>
      <c r="H40" s="10">
        <f t="shared" ref="H40" si="150">+H22/G22-1</f>
        <v>0.5354951796669587</v>
      </c>
      <c r="I40" s="10">
        <f t="shared" ref="I40" si="151">+I22/H22-1</f>
        <v>8.4474885844748826E-2</v>
      </c>
      <c r="J40" s="10">
        <f t="shared" ref="J40" si="152">+J22/I22-1</f>
        <v>1.5789473684211242E-3</v>
      </c>
      <c r="K40" s="10">
        <f t="shared" ref="K40" si="153">+K22/J22-1</f>
        <v>7.7246452968996238E-2</v>
      </c>
      <c r="L40" s="10">
        <f t="shared" ref="L40:V40" si="154">+L22/K22-1</f>
        <v>0.15414634146341455</v>
      </c>
      <c r="M40" s="10">
        <f t="shared" si="154"/>
        <v>0.24091293322062546</v>
      </c>
      <c r="N40" s="10">
        <f t="shared" si="154"/>
        <v>0.11035422343324242</v>
      </c>
      <c r="O40" s="10">
        <f t="shared" si="154"/>
        <v>0.15030674846625769</v>
      </c>
      <c r="P40" s="10">
        <f t="shared" si="154"/>
        <v>1.4933333333333243E-2</v>
      </c>
      <c r="Q40" s="10">
        <f t="shared" si="154"/>
        <v>7.0940620073567384E-3</v>
      </c>
      <c r="R40" s="10">
        <f t="shared" si="154"/>
        <v>-5.5570049569527824E-2</v>
      </c>
      <c r="S40" s="10">
        <f t="shared" si="154"/>
        <v>0.18342541436464099</v>
      </c>
      <c r="T40" s="10">
        <f t="shared" si="154"/>
        <v>1.4096638655462184</v>
      </c>
      <c r="U40" s="10">
        <f t="shared" si="154"/>
        <v>0.40598663179308336</v>
      </c>
      <c r="V40" s="10">
        <f t="shared" si="154"/>
        <v>0.2680170869505305</v>
      </c>
      <c r="W40" s="10">
        <f>+W22/V22-1</f>
        <v>0.22598348185177142</v>
      </c>
      <c r="X40" s="10">
        <f t="shared" ref="X40" si="155">+X22/W22-1</f>
        <v>0.16438416877188322</v>
      </c>
      <c r="Y40" s="10">
        <f t="shared" ref="Y40" si="156">+Y22/X22-1</f>
        <v>0.17124695493300846</v>
      </c>
      <c r="Z40" s="10">
        <f t="shared" ref="Z40" si="157">+Z22/Y22-1</f>
        <v>0.15628351369796234</v>
      </c>
      <c r="AA40" s="10">
        <f t="shared" ref="AA40" si="158">+AA22/Z22-1</f>
        <v>9.9269252388982654E-2</v>
      </c>
      <c r="AB40" s="10">
        <f t="shared" ref="AB40" si="159">+AB22/AA22-1</f>
        <v>5.0726119860912355E-2</v>
      </c>
      <c r="AC40" s="10">
        <f t="shared" ref="AC40" si="160">+AC22/AB22-1</f>
        <v>0.24586334436441493</v>
      </c>
      <c r="AD40" s="10">
        <f t="shared" ref="AD40" si="161">+AD22/AC22-1</f>
        <v>0.1466210937500001</v>
      </c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</row>
    <row r="41" spans="2:170" x14ac:dyDescent="0.25">
      <c r="B41" t="s">
        <v>5</v>
      </c>
      <c r="C41" s="7">
        <f t="shared" ref="C41:F41" si="162">C26/C24</f>
        <v>0.58378378378378382</v>
      </c>
      <c r="D41" s="7">
        <f t="shared" si="162"/>
        <v>0.59751841799146954</v>
      </c>
      <c r="E41" s="7">
        <f t="shared" si="162"/>
        <v>0.63570006635700071</v>
      </c>
      <c r="F41" s="7">
        <f t="shared" si="162"/>
        <v>0.64895330112721417</v>
      </c>
      <c r="G41" s="7">
        <f t="shared" ref="G41:H41" si="163">G26/G24</f>
        <v>0.6506493506493507</v>
      </c>
      <c r="H41" s="7">
        <f t="shared" si="163"/>
        <v>0.58846352819451631</v>
      </c>
      <c r="I41" s="7">
        <f t="shared" ref="I41:U41" si="164">I26/I24</f>
        <v>0.62632247143461706</v>
      </c>
      <c r="J41" s="7">
        <f t="shared" si="164"/>
        <v>0.6310213871676994</v>
      </c>
      <c r="K41" s="7">
        <f t="shared" si="164"/>
        <v>0.6410528175234057</v>
      </c>
      <c r="L41" s="7">
        <f t="shared" si="164"/>
        <v>0.64776394651913327</v>
      </c>
      <c r="M41" s="7">
        <f t="shared" si="164"/>
        <v>0.65197803744896521</v>
      </c>
      <c r="N41" s="7">
        <f t="shared" si="164"/>
        <v>0.65406254088708626</v>
      </c>
      <c r="O41" s="7">
        <f t="shared" si="164"/>
        <v>0.65528474903474898</v>
      </c>
      <c r="P41" s="7">
        <f t="shared" si="164"/>
        <v>0.43481503579952269</v>
      </c>
      <c r="Q41" s="7">
        <f t="shared" si="164"/>
        <v>0.53566009104704093</v>
      </c>
      <c r="R41" s="7">
        <f t="shared" si="164"/>
        <v>0.63344901669145592</v>
      </c>
      <c r="S41" s="7">
        <f t="shared" si="164"/>
        <v>0.64627363737486099</v>
      </c>
      <c r="T41" s="7">
        <f t="shared" si="164"/>
        <v>0.7005256533649219</v>
      </c>
      <c r="U41" s="7">
        <f t="shared" si="164"/>
        <v>0.73951434878587197</v>
      </c>
      <c r="V41" s="7">
        <f t="shared" ref="V41:X41" si="165">V26/V24</f>
        <v>0.75967063294575399</v>
      </c>
      <c r="W41" s="7">
        <f t="shared" si="165"/>
        <v>0.78352019659038552</v>
      </c>
      <c r="X41" s="7">
        <f t="shared" si="165"/>
        <v>0.75146471371504664</v>
      </c>
      <c r="Y41" s="7">
        <f t="shared" ref="Y41:AD41" si="166">Y26/Y24</f>
        <v>0.74556752750698363</v>
      </c>
      <c r="Z41" s="7">
        <f t="shared" si="166"/>
        <v>0.73028908494571709</v>
      </c>
      <c r="AA41" s="7">
        <f t="shared" si="166"/>
        <v>0.60523807362353044</v>
      </c>
      <c r="AB41" s="7">
        <f t="shared" si="166"/>
        <v>0.72423678411740799</v>
      </c>
      <c r="AC41" s="7">
        <f t="shared" si="166"/>
        <v>0.7341157071185489</v>
      </c>
      <c r="AD41" s="7">
        <f t="shared" si="166"/>
        <v>0.74986784140969165</v>
      </c>
      <c r="AE41" s="7"/>
      <c r="AF41" s="7"/>
      <c r="AG41" s="7"/>
      <c r="AH41" s="7"/>
      <c r="AI41" s="7"/>
      <c r="AJ41" s="7"/>
      <c r="AK41" s="7"/>
      <c r="AL41" s="7"/>
      <c r="AM41" s="7">
        <f t="shared" ref="AM41:AP41" si="167">AM26/AM24</f>
        <v>0</v>
      </c>
      <c r="AN41" s="7">
        <f t="shared" si="167"/>
        <v>0</v>
      </c>
      <c r="AO41" s="7">
        <f t="shared" si="167"/>
        <v>0</v>
      </c>
      <c r="AP41" s="7">
        <f t="shared" si="167"/>
        <v>0</v>
      </c>
      <c r="AQ41" s="7">
        <f t="shared" ref="AQ41" si="168">AQ26/AQ24</f>
        <v>0.62125205270957662</v>
      </c>
      <c r="AR41" s="7">
        <f t="shared" ref="AR41:AS41" si="169">AR26/AR24</f>
        <v>0.62886935848892367</v>
      </c>
      <c r="AS41" s="7">
        <f t="shared" si="169"/>
        <v>0.6208477580029077</v>
      </c>
      <c r="AT41" s="7">
        <f t="shared" ref="AT41:BA41" si="170">AT26/AT24</f>
        <v>0.30489246362952205</v>
      </c>
      <c r="AU41" s="7">
        <f t="shared" si="170"/>
        <v>0.29012285066197824</v>
      </c>
      <c r="AV41" s="7">
        <f t="shared" si="170"/>
        <v>0.3231220581950644</v>
      </c>
      <c r="AW41" s="7">
        <f t="shared" si="170"/>
        <v>0.38306098404377342</v>
      </c>
      <c r="AX41" s="7">
        <f t="shared" si="170"/>
        <v>0.42376866830402143</v>
      </c>
      <c r="AY41" s="7">
        <f t="shared" si="170"/>
        <v>0.45616004451103742</v>
      </c>
      <c r="AZ41" s="7">
        <f t="shared" si="170"/>
        <v>0.34286637785672341</v>
      </c>
      <c r="BA41" s="7">
        <f t="shared" si="170"/>
        <v>0.35380804432359475</v>
      </c>
      <c r="BB41" s="7">
        <f t="shared" ref="BB41" si="171">BB26/BB24</f>
        <v>0.39767629636591112</v>
      </c>
      <c r="BC41" s="7">
        <f t="shared" ref="BC41:BD41" si="172">BC26/BC24</f>
        <v>0.51439544964519135</v>
      </c>
      <c r="BD41" s="7">
        <f t="shared" si="172"/>
        <v>0.52015427464260089</v>
      </c>
      <c r="BE41" s="7">
        <f t="shared" ref="BE41:BV41" si="173">BE26/BE24</f>
        <v>0.54915254237288136</v>
      </c>
      <c r="BF41" s="7">
        <f t="shared" si="173"/>
        <v>0.55510465612985904</v>
      </c>
      <c r="BG41" s="7">
        <f t="shared" si="173"/>
        <v>0.56107784431137719</v>
      </c>
      <c r="BH41" s="7">
        <f t="shared" si="173"/>
        <v>0.58798842257597683</v>
      </c>
      <c r="BI41" s="7">
        <f t="shared" si="173"/>
        <v>0.59934115709285563</v>
      </c>
      <c r="BJ41" s="7">
        <f t="shared" si="173"/>
        <v>0.61206896551724133</v>
      </c>
      <c r="BK41" s="7">
        <f t="shared" si="173"/>
        <v>0.61989375343469499</v>
      </c>
      <c r="BL41" s="7">
        <f t="shared" si="173"/>
        <v>0.62344827586206897</v>
      </c>
      <c r="BM41" s="7">
        <f t="shared" si="173"/>
        <v>0.64924014416824583</v>
      </c>
      <c r="BN41" s="7">
        <f t="shared" si="173"/>
        <v>0.56933684249545913</v>
      </c>
      <c r="BO41" s="7">
        <f t="shared" si="173"/>
        <v>0.72717573290436954</v>
      </c>
      <c r="BP41" s="7">
        <f t="shared" si="173"/>
        <v>0.74989463359310937</v>
      </c>
      <c r="BQ41" s="7">
        <f t="shared" si="173"/>
        <v>0.71064466377349922</v>
      </c>
      <c r="BR41" s="7">
        <f t="shared" si="173"/>
        <v>0.75</v>
      </c>
      <c r="BS41" s="7">
        <f t="shared" si="173"/>
        <v>0.78</v>
      </c>
      <c r="BT41" s="7">
        <f t="shared" si="173"/>
        <v>0.78</v>
      </c>
      <c r="BU41" s="7">
        <f t="shared" si="173"/>
        <v>0.78</v>
      </c>
      <c r="BV41" s="7">
        <f t="shared" si="173"/>
        <v>0.78</v>
      </c>
    </row>
    <row r="42" spans="2:170" x14ac:dyDescent="0.25">
      <c r="B42" t="s">
        <v>24</v>
      </c>
      <c r="C42" s="7">
        <f t="shared" ref="C42:F42" si="174">C22/C24</f>
        <v>0.28558558558558561</v>
      </c>
      <c r="D42" s="7">
        <f t="shared" si="174"/>
        <v>0.25397440868553706</v>
      </c>
      <c r="E42" s="7">
        <f t="shared" si="174"/>
        <v>0.24087591240875914</v>
      </c>
      <c r="F42" s="7">
        <f t="shared" si="174"/>
        <v>0.3117552334943639</v>
      </c>
      <c r="G42" s="7">
        <f t="shared" ref="G42:I42" si="175">G22/G24</f>
        <v>0.37045454545454548</v>
      </c>
      <c r="H42" s="7">
        <f t="shared" si="175"/>
        <v>0.45318158303155714</v>
      </c>
      <c r="I42" s="7">
        <f t="shared" si="175"/>
        <v>0.40203131612357174</v>
      </c>
      <c r="J42" s="7">
        <f t="shared" ref="J42:O42" si="176">J22/J24</f>
        <v>0.38037177693383972</v>
      </c>
      <c r="K42" s="7">
        <f t="shared" si="176"/>
        <v>0.36212683271506801</v>
      </c>
      <c r="L42" s="7">
        <f t="shared" si="176"/>
        <v>0.36360842169970803</v>
      </c>
      <c r="M42" s="7">
        <f t="shared" si="176"/>
        <v>0.41334647332113189</v>
      </c>
      <c r="N42" s="7">
        <f t="shared" si="176"/>
        <v>0.42653408347507521</v>
      </c>
      <c r="O42" s="7">
        <f t="shared" si="176"/>
        <v>0.45246138996138996</v>
      </c>
      <c r="P42" s="7">
        <f t="shared" ref="P42:U42" si="177">P22/P24</f>
        <v>0.56772076372315039</v>
      </c>
      <c r="Q42" s="7">
        <f t="shared" si="177"/>
        <v>0.64626538526386779</v>
      </c>
      <c r="R42" s="7">
        <f t="shared" si="177"/>
        <v>0.59824822343414308</v>
      </c>
      <c r="S42" s="7">
        <f t="shared" si="177"/>
        <v>0.59566184649610676</v>
      </c>
      <c r="T42" s="7">
        <f t="shared" si="177"/>
        <v>0.76427037832235134</v>
      </c>
      <c r="U42" s="7">
        <f t="shared" si="177"/>
        <v>0.80099337748344368</v>
      </c>
      <c r="V42" s="7">
        <f t="shared" ref="V42:AD42" si="178">V22/V24</f>
        <v>0.8326471519703208</v>
      </c>
      <c r="W42" s="7">
        <f>W22/W24</f>
        <v>0.86634157579480875</v>
      </c>
      <c r="X42" s="7">
        <f t="shared" si="178"/>
        <v>0.87456724367509986</v>
      </c>
      <c r="Y42" s="7">
        <f t="shared" si="178"/>
        <v>0.87711646998460746</v>
      </c>
      <c r="Z42" s="7">
        <f t="shared" si="178"/>
        <v>0.90462993567415018</v>
      </c>
      <c r="AA42" s="7">
        <f t="shared" si="178"/>
        <v>0.88765829966864873</v>
      </c>
      <c r="AB42" s="7">
        <f t="shared" si="178"/>
        <v>0.87919046702180004</v>
      </c>
      <c r="AC42" s="7">
        <f t="shared" si="178"/>
        <v>0.89815107181700171</v>
      </c>
      <c r="AD42" s="7">
        <f t="shared" si="178"/>
        <v>0.86207048458149782</v>
      </c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</row>
    <row r="44" spans="2:170" x14ac:dyDescent="0.25">
      <c r="B44" t="s">
        <v>161</v>
      </c>
      <c r="F44" s="2"/>
      <c r="G44" s="2">
        <f>+G45-G58</f>
        <v>9395</v>
      </c>
      <c r="H44" s="2">
        <f>+H45-H58</f>
        <v>4021</v>
      </c>
      <c r="I44" s="2">
        <f>+I45-I58</f>
        <v>3178</v>
      </c>
      <c r="J44" s="2">
        <f>+J45-J58</f>
        <v>4598</v>
      </c>
      <c r="K44" s="2">
        <f>+K45-K58</f>
        <v>5704</v>
      </c>
      <c r="L44" s="2">
        <f t="shared" ref="L44:M44" si="179">+L45-L58</f>
        <v>7711</v>
      </c>
      <c r="M44" s="2">
        <f t="shared" si="179"/>
        <v>8354</v>
      </c>
      <c r="N44" s="2">
        <f t="shared" ref="N44:V44" si="180">+N45-N58</f>
        <v>10262</v>
      </c>
      <c r="O44" s="2">
        <f t="shared" si="180"/>
        <v>9391</v>
      </c>
      <c r="P44" s="2">
        <f t="shared" si="180"/>
        <v>6088</v>
      </c>
      <c r="Q44" s="2">
        <f t="shared" si="180"/>
        <v>2193</v>
      </c>
      <c r="R44" s="2">
        <f t="shared" si="180"/>
        <v>2343</v>
      </c>
      <c r="S44" s="2">
        <f t="shared" si="180"/>
        <v>4366</v>
      </c>
      <c r="T44" s="2">
        <f t="shared" si="180"/>
        <v>6318</v>
      </c>
      <c r="U44" s="2">
        <f t="shared" si="180"/>
        <v>8575</v>
      </c>
      <c r="V44" s="2">
        <f t="shared" si="180"/>
        <v>16275</v>
      </c>
      <c r="W44" s="2">
        <f t="shared" ref="W44:AD44" si="181">+W45-W58</f>
        <v>21728</v>
      </c>
      <c r="X44" s="2">
        <f t="shared" si="181"/>
        <v>26339</v>
      </c>
      <c r="Y44" s="2">
        <f t="shared" si="181"/>
        <v>30025</v>
      </c>
      <c r="Z44" s="2">
        <f t="shared" si="181"/>
        <v>34747</v>
      </c>
      <c r="AA44" s="2">
        <f t="shared" si="181"/>
        <v>45227</v>
      </c>
      <c r="AB44" s="2">
        <f t="shared" si="181"/>
        <v>48325</v>
      </c>
      <c r="AC44" s="2">
        <f t="shared" si="181"/>
        <v>52141</v>
      </c>
      <c r="AD44" s="2">
        <f t="shared" si="181"/>
        <v>76339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L44" s="2">
        <f>+BL45-BL58</f>
        <v>4598</v>
      </c>
      <c r="BM44" s="2">
        <f>+BM45-BM58</f>
        <v>10262</v>
      </c>
      <c r="BN44" s="2">
        <f>+BN45-BN58</f>
        <v>2343</v>
      </c>
      <c r="BO44" s="2">
        <f>+BO45-BO58</f>
        <v>16275</v>
      </c>
      <c r="BP44" s="2">
        <f>+BP45-BP58</f>
        <v>34747</v>
      </c>
      <c r="BX44" t="s">
        <v>165</v>
      </c>
      <c r="BY44" s="10">
        <v>0</v>
      </c>
    </row>
    <row r="45" spans="2:170" s="2" customFormat="1" x14ac:dyDescent="0.25">
      <c r="B45" s="2" t="s">
        <v>38</v>
      </c>
      <c r="C45" s="5"/>
      <c r="D45" s="5"/>
      <c r="E45" s="5"/>
      <c r="F45" s="5"/>
      <c r="G45" s="5">
        <f>15494+860</f>
        <v>16354</v>
      </c>
      <c r="H45" s="5">
        <f>3274+7707</f>
        <v>10981</v>
      </c>
      <c r="I45" s="5">
        <f>2251+7888</f>
        <v>10139</v>
      </c>
      <c r="J45" s="5">
        <f>847+10714</f>
        <v>11561</v>
      </c>
      <c r="K45" s="5">
        <f>978+11689</f>
        <v>12667</v>
      </c>
      <c r="L45" s="5">
        <f>5628+14026</f>
        <v>19654</v>
      </c>
      <c r="M45" s="5">
        <f>1288+18010</f>
        <v>19298</v>
      </c>
      <c r="N45" s="5">
        <f>1990+19218</f>
        <v>21208</v>
      </c>
      <c r="O45" s="5">
        <f>3887+16451</f>
        <v>20338</v>
      </c>
      <c r="P45" s="5">
        <f>3013+14024</f>
        <v>17037</v>
      </c>
      <c r="Q45" s="5">
        <f>2800+10343</f>
        <v>13143</v>
      </c>
      <c r="R45" s="5">
        <f>3389+9907</f>
        <v>13296</v>
      </c>
      <c r="S45" s="2">
        <f>5079+10241</f>
        <v>15320</v>
      </c>
      <c r="T45" s="2">
        <f>5783+10240</f>
        <v>16023</v>
      </c>
      <c r="U45" s="2">
        <f>5519+12762</f>
        <v>18281</v>
      </c>
      <c r="V45" s="2">
        <f>7280+18704</f>
        <v>25984</v>
      </c>
      <c r="W45" s="2">
        <f>7587+23851</f>
        <v>31438</v>
      </c>
      <c r="X45" s="2">
        <f>8563+26237</f>
        <v>34800</v>
      </c>
      <c r="Y45" s="2">
        <f>9107+29380</f>
        <v>38487</v>
      </c>
      <c r="Z45" s="2">
        <v>43210</v>
      </c>
      <c r="AA45" s="2">
        <f>15234+38457</f>
        <v>53691</v>
      </c>
      <c r="AB45" s="2">
        <f>11639+45152</f>
        <v>56791</v>
      </c>
      <c r="AC45" s="2">
        <f>11486+49122</f>
        <v>60608</v>
      </c>
      <c r="AD45" s="2">
        <f>51951+10605+22251</f>
        <v>84807</v>
      </c>
      <c r="BL45" s="2">
        <f>+J45</f>
        <v>11561</v>
      </c>
      <c r="BM45" s="2">
        <f>+N45</f>
        <v>21208</v>
      </c>
      <c r="BN45" s="2">
        <f>+R45</f>
        <v>13296</v>
      </c>
      <c r="BO45" s="2">
        <f>+V45</f>
        <v>25984</v>
      </c>
      <c r="BP45" s="2">
        <f>+Z45</f>
        <v>43210</v>
      </c>
      <c r="BX45" t="s">
        <v>163</v>
      </c>
      <c r="BY45" s="10">
        <v>0.08</v>
      </c>
    </row>
    <row r="46" spans="2:170" s="2" customFormat="1" x14ac:dyDescent="0.25">
      <c r="B46" s="2" t="s">
        <v>39</v>
      </c>
      <c r="C46" s="5"/>
      <c r="D46" s="5"/>
      <c r="E46" s="5"/>
      <c r="F46" s="5"/>
      <c r="G46" s="5">
        <v>1907</v>
      </c>
      <c r="H46" s="5">
        <v>2084</v>
      </c>
      <c r="I46" s="5">
        <v>2546</v>
      </c>
      <c r="J46" s="5">
        <v>2429</v>
      </c>
      <c r="K46" s="5">
        <v>3024</v>
      </c>
      <c r="L46" s="5">
        <v>3586</v>
      </c>
      <c r="M46" s="5">
        <v>3954</v>
      </c>
      <c r="N46" s="5">
        <v>4650</v>
      </c>
      <c r="O46" s="5">
        <v>5438</v>
      </c>
      <c r="P46" s="5">
        <v>5317</v>
      </c>
      <c r="Q46" s="5">
        <v>4908</v>
      </c>
      <c r="R46" s="5">
        <v>3827</v>
      </c>
      <c r="S46" s="2">
        <v>4080</v>
      </c>
      <c r="T46" s="2">
        <v>7066</v>
      </c>
      <c r="U46" s="2">
        <v>8309</v>
      </c>
      <c r="V46" s="2">
        <v>9999</v>
      </c>
      <c r="W46" s="2">
        <v>12365</v>
      </c>
      <c r="X46" s="2">
        <v>14132</v>
      </c>
      <c r="Y46" s="2">
        <v>17693</v>
      </c>
      <c r="Z46" s="2">
        <v>23065</v>
      </c>
      <c r="AA46" s="2">
        <v>22132</v>
      </c>
      <c r="AB46" s="2">
        <v>27808</v>
      </c>
      <c r="AC46" s="2">
        <v>33391</v>
      </c>
      <c r="AD46" s="2">
        <v>38466</v>
      </c>
      <c r="BL46" s="2">
        <f t="shared" ref="BL46:BL53" si="182">+J46</f>
        <v>2429</v>
      </c>
      <c r="BM46" s="2">
        <f t="shared" ref="BM46:BM53" si="183">+N46</f>
        <v>4650</v>
      </c>
      <c r="BN46" s="2">
        <f t="shared" ref="BN46:BN53" si="184">+R46</f>
        <v>3827</v>
      </c>
      <c r="BO46" s="2">
        <f t="shared" ref="BO46:BO53" si="185">+V46</f>
        <v>9999</v>
      </c>
      <c r="BP46" s="2">
        <f t="shared" ref="BP46:BP53" si="186">+Z46</f>
        <v>23065</v>
      </c>
      <c r="BX46" t="s">
        <v>164</v>
      </c>
      <c r="BY46" s="2">
        <f>NPV(BY45,BR34:FO34)+Main!K5-Main!K6+BQ34</f>
        <v>9671049.1399095468</v>
      </c>
    </row>
    <row r="47" spans="2:170" s="2" customFormat="1" x14ac:dyDescent="0.25">
      <c r="B47" s="2" t="s">
        <v>40</v>
      </c>
      <c r="C47" s="5"/>
      <c r="D47" s="5"/>
      <c r="E47" s="5"/>
      <c r="F47" s="5"/>
      <c r="G47" s="5">
        <v>1128</v>
      </c>
      <c r="H47" s="5">
        <v>1401</v>
      </c>
      <c r="I47" s="5">
        <v>1495</v>
      </c>
      <c r="J47" s="5">
        <v>1826</v>
      </c>
      <c r="K47" s="5">
        <v>1992</v>
      </c>
      <c r="L47" s="5">
        <v>2114</v>
      </c>
      <c r="M47" s="5">
        <v>2233</v>
      </c>
      <c r="N47" s="5">
        <v>2605</v>
      </c>
      <c r="O47" s="5">
        <v>3163</v>
      </c>
      <c r="P47" s="5">
        <v>3889</v>
      </c>
      <c r="Q47" s="5">
        <v>4454</v>
      </c>
      <c r="R47" s="5">
        <v>5159</v>
      </c>
      <c r="S47" s="2">
        <v>4611</v>
      </c>
      <c r="T47" s="2">
        <v>4319</v>
      </c>
      <c r="U47" s="2">
        <v>4779</v>
      </c>
      <c r="V47" s="2">
        <v>5282</v>
      </c>
      <c r="W47" s="2">
        <v>5864</v>
      </c>
      <c r="X47" s="2">
        <v>6675</v>
      </c>
      <c r="Y47" s="2">
        <v>7654</v>
      </c>
      <c r="Z47" s="2">
        <v>10080</v>
      </c>
      <c r="AA47" s="2">
        <v>11333</v>
      </c>
      <c r="AB47" s="2">
        <v>14962</v>
      </c>
      <c r="AC47" s="2">
        <v>19784</v>
      </c>
      <c r="AD47" s="2">
        <v>21403</v>
      </c>
      <c r="BL47" s="2">
        <f t="shared" si="182"/>
        <v>1826</v>
      </c>
      <c r="BM47" s="2">
        <f t="shared" si="183"/>
        <v>2605</v>
      </c>
      <c r="BN47" s="2">
        <f t="shared" si="184"/>
        <v>5159</v>
      </c>
      <c r="BO47" s="2">
        <f t="shared" si="185"/>
        <v>5282</v>
      </c>
      <c r="BP47" s="2">
        <f t="shared" si="186"/>
        <v>10080</v>
      </c>
      <c r="BX47" t="s">
        <v>258</v>
      </c>
      <c r="BY47" s="15">
        <f>BY46/Main!K3</f>
        <v>397.98556131315007</v>
      </c>
    </row>
    <row r="48" spans="2:170" s="2" customFormat="1" x14ac:dyDescent="0.25">
      <c r="B48" s="2" t="s">
        <v>41</v>
      </c>
      <c r="C48" s="5"/>
      <c r="D48" s="5"/>
      <c r="E48" s="5"/>
      <c r="F48" s="5"/>
      <c r="G48" s="5">
        <v>195</v>
      </c>
      <c r="H48" s="5">
        <v>215</v>
      </c>
      <c r="I48" s="5">
        <v>213</v>
      </c>
      <c r="J48" s="5">
        <v>239</v>
      </c>
      <c r="K48" s="5">
        <v>444</v>
      </c>
      <c r="L48" s="5">
        <v>452</v>
      </c>
      <c r="M48" s="5">
        <v>321</v>
      </c>
      <c r="N48" s="5">
        <v>366</v>
      </c>
      <c r="O48" s="5">
        <v>636</v>
      </c>
      <c r="P48" s="5">
        <v>1175</v>
      </c>
      <c r="Q48" s="5">
        <v>718</v>
      </c>
      <c r="R48" s="5">
        <v>791</v>
      </c>
      <c r="S48" s="2">
        <v>872</v>
      </c>
      <c r="T48" s="2">
        <v>1389</v>
      </c>
      <c r="U48" s="2">
        <v>1289</v>
      </c>
      <c r="V48" s="2">
        <v>3080</v>
      </c>
      <c r="W48" s="2">
        <v>4062</v>
      </c>
      <c r="X48" s="2">
        <v>4026</v>
      </c>
      <c r="Y48" s="2">
        <v>3806</v>
      </c>
      <c r="Z48" s="2">
        <v>3771</v>
      </c>
      <c r="AA48" s="2">
        <v>2779</v>
      </c>
      <c r="AB48" s="2">
        <v>2658</v>
      </c>
      <c r="AC48" s="2">
        <v>2709</v>
      </c>
      <c r="AD48" s="2">
        <v>3180</v>
      </c>
      <c r="BL48" s="2">
        <f t="shared" si="182"/>
        <v>239</v>
      </c>
      <c r="BM48" s="2">
        <f t="shared" si="183"/>
        <v>366</v>
      </c>
      <c r="BN48" s="2">
        <f t="shared" si="184"/>
        <v>791</v>
      </c>
      <c r="BO48" s="2">
        <f t="shared" si="185"/>
        <v>3080</v>
      </c>
      <c r="BP48" s="2">
        <f t="shared" si="186"/>
        <v>3771</v>
      </c>
    </row>
    <row r="49" spans="2:68" s="2" customFormat="1" x14ac:dyDescent="0.25">
      <c r="B49" s="2" t="s">
        <v>42</v>
      </c>
      <c r="C49" s="5"/>
      <c r="D49" s="5"/>
      <c r="E49" s="5"/>
      <c r="F49" s="5"/>
      <c r="G49" s="5">
        <v>1715</v>
      </c>
      <c r="H49" s="5">
        <v>1964</v>
      </c>
      <c r="I49" s="5">
        <v>2059</v>
      </c>
      <c r="J49" s="5">
        <v>2149</v>
      </c>
      <c r="K49" s="5">
        <v>2268</v>
      </c>
      <c r="L49" s="5">
        <v>2364</v>
      </c>
      <c r="M49" s="5">
        <v>2509</v>
      </c>
      <c r="N49" s="5">
        <v>2778</v>
      </c>
      <c r="O49" s="5">
        <v>2916</v>
      </c>
      <c r="P49" s="5">
        <v>3233</v>
      </c>
      <c r="Q49" s="5">
        <v>3774</v>
      </c>
      <c r="R49" s="5">
        <v>3807</v>
      </c>
      <c r="S49" s="2">
        <v>3740</v>
      </c>
      <c r="T49" s="2">
        <v>3799</v>
      </c>
      <c r="U49" s="2">
        <v>3844</v>
      </c>
      <c r="V49" s="2">
        <v>3914</v>
      </c>
      <c r="W49" s="2">
        <v>4006</v>
      </c>
      <c r="X49" s="2">
        <v>4885</v>
      </c>
      <c r="Y49" s="2">
        <v>5343</v>
      </c>
      <c r="Z49" s="2">
        <v>6283</v>
      </c>
      <c r="AA49" s="2">
        <v>7136</v>
      </c>
      <c r="AB49" s="2">
        <v>9141</v>
      </c>
      <c r="AC49" s="2">
        <v>9780</v>
      </c>
      <c r="AD49" s="2">
        <v>10383</v>
      </c>
      <c r="BL49" s="2">
        <f t="shared" si="182"/>
        <v>2149</v>
      </c>
      <c r="BM49" s="2">
        <f t="shared" si="183"/>
        <v>2778</v>
      </c>
      <c r="BN49" s="2">
        <f t="shared" si="184"/>
        <v>3807</v>
      </c>
      <c r="BO49" s="2">
        <f t="shared" si="185"/>
        <v>3914</v>
      </c>
      <c r="BP49" s="2">
        <f t="shared" si="186"/>
        <v>6283</v>
      </c>
    </row>
    <row r="50" spans="2:68" s="2" customFormat="1" x14ac:dyDescent="0.25">
      <c r="B50" s="2" t="s">
        <v>43</v>
      </c>
      <c r="C50" s="5"/>
      <c r="D50" s="5"/>
      <c r="E50" s="5"/>
      <c r="F50" s="5"/>
      <c r="G50" s="5">
        <v>595</v>
      </c>
      <c r="H50" s="5">
        <v>701</v>
      </c>
      <c r="I50" s="5">
        <v>681</v>
      </c>
      <c r="J50" s="5">
        <v>707</v>
      </c>
      <c r="K50" s="5">
        <v>727</v>
      </c>
      <c r="L50" s="5">
        <v>801</v>
      </c>
      <c r="M50" s="5">
        <v>830</v>
      </c>
      <c r="N50" s="5">
        <v>829</v>
      </c>
      <c r="O50" s="5">
        <v>856</v>
      </c>
      <c r="P50" s="5">
        <v>852</v>
      </c>
      <c r="Q50" s="5">
        <v>927</v>
      </c>
      <c r="R50" s="5">
        <v>1038</v>
      </c>
      <c r="S50" s="2">
        <v>1094</v>
      </c>
      <c r="T50" s="2">
        <v>1235</v>
      </c>
      <c r="U50" s="2">
        <v>1316</v>
      </c>
      <c r="V50" s="2">
        <v>1346</v>
      </c>
      <c r="W50" s="2">
        <v>1532</v>
      </c>
      <c r="X50" s="2">
        <v>1556</v>
      </c>
      <c r="Y50" s="2">
        <v>1755</v>
      </c>
      <c r="Z50" s="2">
        <v>1793</v>
      </c>
      <c r="AA50" s="2">
        <v>1810</v>
      </c>
      <c r="AB50" s="2">
        <v>2084</v>
      </c>
      <c r="AC50" s="2">
        <v>2281</v>
      </c>
      <c r="AD50" s="2">
        <v>2867</v>
      </c>
      <c r="BL50" s="2">
        <f t="shared" si="182"/>
        <v>707</v>
      </c>
      <c r="BM50" s="2">
        <f t="shared" si="183"/>
        <v>829</v>
      </c>
      <c r="BN50" s="2">
        <f t="shared" si="184"/>
        <v>1038</v>
      </c>
      <c r="BO50" s="2">
        <f t="shared" si="185"/>
        <v>1346</v>
      </c>
      <c r="BP50" s="2">
        <f t="shared" si="186"/>
        <v>1793</v>
      </c>
    </row>
    <row r="51" spans="2:68" s="2" customFormat="1" x14ac:dyDescent="0.25">
      <c r="B51" s="2" t="s">
        <v>44</v>
      </c>
      <c r="C51" s="5"/>
      <c r="D51" s="5"/>
      <c r="E51" s="5"/>
      <c r="F51" s="5"/>
      <c r="G51" s="5">
        <f>628+80</f>
        <v>708</v>
      </c>
      <c r="H51" s="5">
        <f>4193+2854</f>
        <v>7047</v>
      </c>
      <c r="I51" s="5">
        <f>4193+2861</f>
        <v>7054</v>
      </c>
      <c r="J51" s="5">
        <f>4193+2737</f>
        <v>6930</v>
      </c>
      <c r="K51" s="5">
        <f>4193+2613</f>
        <v>6806</v>
      </c>
      <c r="L51" s="5">
        <f>4193+2478</f>
        <v>6671</v>
      </c>
      <c r="M51" s="5">
        <f>4302+2454</f>
        <v>6756</v>
      </c>
      <c r="N51" s="5">
        <f>4349+2339</f>
        <v>6688</v>
      </c>
      <c r="O51" s="5">
        <f>4365+2211</f>
        <v>6576</v>
      </c>
      <c r="P51" s="5">
        <f>4372+2036</f>
        <v>6408</v>
      </c>
      <c r="Q51" s="5">
        <f>4372+1850</f>
        <v>6222</v>
      </c>
      <c r="R51" s="5">
        <f>4372+1676</f>
        <v>6048</v>
      </c>
      <c r="S51" s="2">
        <f>4430+1541</f>
        <v>5971</v>
      </c>
      <c r="T51" s="2">
        <f>4430+1395</f>
        <v>5825</v>
      </c>
      <c r="U51" s="2">
        <f>4430+1251</f>
        <v>5681</v>
      </c>
      <c r="V51" s="2">
        <f>4430+1112</f>
        <v>5542</v>
      </c>
      <c r="W51" s="2">
        <f>4453+986</f>
        <v>5439</v>
      </c>
      <c r="X51" s="2">
        <f>4622+952</f>
        <v>5574</v>
      </c>
      <c r="Y51" s="2">
        <f>4724+838</f>
        <v>5562</v>
      </c>
      <c r="Z51" s="2">
        <f>5188+807</f>
        <v>5995</v>
      </c>
      <c r="AA51" s="2">
        <f>5498+769</f>
        <v>6267</v>
      </c>
      <c r="AB51" s="2">
        <f>5755+755</f>
        <v>6510</v>
      </c>
      <c r="AC51" s="2">
        <f>6261+936</f>
        <v>7197</v>
      </c>
      <c r="AD51" s="2">
        <f>20832+3306</f>
        <v>24138</v>
      </c>
      <c r="BL51" s="2">
        <f t="shared" si="182"/>
        <v>6930</v>
      </c>
      <c r="BM51" s="2">
        <f t="shared" si="183"/>
        <v>6688</v>
      </c>
      <c r="BN51" s="2">
        <f t="shared" si="184"/>
        <v>6048</v>
      </c>
      <c r="BO51" s="2">
        <f t="shared" si="185"/>
        <v>5542</v>
      </c>
      <c r="BP51" s="2">
        <f t="shared" si="186"/>
        <v>5995</v>
      </c>
    </row>
    <row r="52" spans="2:68" s="2" customFormat="1" x14ac:dyDescent="0.25">
      <c r="B52" s="2" t="s">
        <v>9</v>
      </c>
      <c r="C52" s="5"/>
      <c r="D52" s="5"/>
      <c r="E52" s="5"/>
      <c r="F52" s="5"/>
      <c r="G52" s="5">
        <v>533</v>
      </c>
      <c r="H52" s="5">
        <v>630</v>
      </c>
      <c r="I52" s="5">
        <v>666</v>
      </c>
      <c r="J52" s="5">
        <v>806</v>
      </c>
      <c r="K52" s="5">
        <v>778</v>
      </c>
      <c r="L52" s="5">
        <v>958</v>
      </c>
      <c r="M52" s="5">
        <v>970</v>
      </c>
      <c r="N52" s="5">
        <v>1222</v>
      </c>
      <c r="O52" s="5">
        <v>1784</v>
      </c>
      <c r="P52" s="5">
        <v>2225</v>
      </c>
      <c r="Q52" s="5">
        <v>2762</v>
      </c>
      <c r="R52" s="5">
        <v>3396</v>
      </c>
      <c r="S52" s="2">
        <v>4568</v>
      </c>
      <c r="T52" s="2">
        <v>5398</v>
      </c>
      <c r="U52" s="2">
        <v>5982</v>
      </c>
      <c r="V52" s="2">
        <v>6081</v>
      </c>
      <c r="W52" s="2">
        <v>7798</v>
      </c>
      <c r="X52" s="2">
        <v>9578</v>
      </c>
      <c r="Y52" s="2">
        <v>10276</v>
      </c>
      <c r="Z52" s="2">
        <v>10979</v>
      </c>
      <c r="AA52" s="2">
        <v>13318</v>
      </c>
      <c r="AB52" s="2">
        <v>13570</v>
      </c>
      <c r="AC52" s="2">
        <v>13674</v>
      </c>
      <c r="AD52" s="2">
        <v>13258</v>
      </c>
      <c r="BL52" s="2">
        <f t="shared" si="182"/>
        <v>806</v>
      </c>
      <c r="BM52" s="2">
        <f t="shared" si="183"/>
        <v>1222</v>
      </c>
      <c r="BN52" s="2">
        <f t="shared" si="184"/>
        <v>3396</v>
      </c>
      <c r="BO52" s="2">
        <f t="shared" si="185"/>
        <v>6081</v>
      </c>
      <c r="BP52" s="2">
        <f t="shared" si="186"/>
        <v>10979</v>
      </c>
    </row>
    <row r="53" spans="2:68" s="2" customFormat="1" x14ac:dyDescent="0.25">
      <c r="B53" s="2" t="s">
        <v>45</v>
      </c>
      <c r="C53" s="5"/>
      <c r="D53" s="5"/>
      <c r="E53" s="5"/>
      <c r="F53" s="5"/>
      <c r="G53" s="5">
        <v>119</v>
      </c>
      <c r="H53" s="5">
        <v>157</v>
      </c>
      <c r="I53" s="5">
        <v>2028</v>
      </c>
      <c r="J53" s="5">
        <v>2144</v>
      </c>
      <c r="K53" s="5">
        <v>2090</v>
      </c>
      <c r="L53" s="5">
        <v>2050</v>
      </c>
      <c r="M53" s="5">
        <v>3761</v>
      </c>
      <c r="N53" s="5">
        <v>3841</v>
      </c>
      <c r="O53" s="5">
        <v>3505</v>
      </c>
      <c r="P53" s="5">
        <v>3340</v>
      </c>
      <c r="Q53" s="5">
        <v>3580</v>
      </c>
      <c r="R53" s="5">
        <v>3820</v>
      </c>
      <c r="S53" s="2">
        <v>4204</v>
      </c>
      <c r="T53" s="2">
        <v>4501</v>
      </c>
      <c r="U53" s="2">
        <v>4667</v>
      </c>
      <c r="V53" s="2">
        <v>4500</v>
      </c>
      <c r="W53" s="2">
        <v>4568</v>
      </c>
      <c r="X53" s="2">
        <v>4001</v>
      </c>
      <c r="Y53" s="2">
        <v>5437</v>
      </c>
      <c r="Z53" s="2">
        <v>6425</v>
      </c>
      <c r="AA53" s="2">
        <v>6788</v>
      </c>
      <c r="AB53" s="2">
        <v>7216</v>
      </c>
      <c r="AC53" s="2">
        <v>11724</v>
      </c>
      <c r="AD53" s="2">
        <v>8301</v>
      </c>
      <c r="BL53" s="2">
        <f t="shared" si="182"/>
        <v>2144</v>
      </c>
      <c r="BM53" s="2">
        <f t="shared" si="183"/>
        <v>3841</v>
      </c>
      <c r="BN53" s="2">
        <f t="shared" si="184"/>
        <v>3820</v>
      </c>
      <c r="BO53" s="2">
        <f t="shared" si="185"/>
        <v>4500</v>
      </c>
      <c r="BP53" s="2">
        <f t="shared" si="186"/>
        <v>6425</v>
      </c>
    </row>
    <row r="54" spans="2:68" s="2" customFormat="1" x14ac:dyDescent="0.25">
      <c r="B54" s="2" t="s">
        <v>37</v>
      </c>
      <c r="C54" s="5"/>
      <c r="D54" s="5"/>
      <c r="E54" s="5"/>
      <c r="G54" s="2">
        <f t="shared" ref="G54:M54" si="187">SUM(G45:G53)</f>
        <v>23254</v>
      </c>
      <c r="H54" s="2">
        <f t="shared" si="187"/>
        <v>25180</v>
      </c>
      <c r="I54" s="2">
        <f t="shared" si="187"/>
        <v>26881</v>
      </c>
      <c r="J54" s="2">
        <f t="shared" si="187"/>
        <v>28791</v>
      </c>
      <c r="K54" s="2">
        <f t="shared" si="187"/>
        <v>30796</v>
      </c>
      <c r="L54" s="2">
        <f t="shared" si="187"/>
        <v>38650</v>
      </c>
      <c r="M54" s="2">
        <f t="shared" si="187"/>
        <v>40632</v>
      </c>
      <c r="N54" s="2">
        <f t="shared" ref="N54:Q54" si="188">SUM(N45:N53)</f>
        <v>44187</v>
      </c>
      <c r="O54" s="2">
        <f t="shared" si="188"/>
        <v>45212</v>
      </c>
      <c r="P54" s="2">
        <f t="shared" si="188"/>
        <v>43476</v>
      </c>
      <c r="Q54" s="2">
        <f t="shared" si="188"/>
        <v>40488</v>
      </c>
      <c r="R54" s="2">
        <f t="shared" ref="R54:S54" si="189">SUM(R45:R53)</f>
        <v>41182</v>
      </c>
      <c r="S54" s="2">
        <f t="shared" si="189"/>
        <v>44460</v>
      </c>
      <c r="T54" s="2">
        <f t="shared" ref="T54:AD54" si="190">SUM(T45:T53)</f>
        <v>49555</v>
      </c>
      <c r="U54" s="2">
        <f t="shared" si="190"/>
        <v>54148</v>
      </c>
      <c r="V54" s="2">
        <f t="shared" si="190"/>
        <v>65728</v>
      </c>
      <c r="W54" s="2">
        <f t="shared" si="190"/>
        <v>77072</v>
      </c>
      <c r="X54" s="2">
        <f t="shared" si="190"/>
        <v>85227</v>
      </c>
      <c r="Y54" s="2">
        <f t="shared" si="190"/>
        <v>96013</v>
      </c>
      <c r="Z54" s="2">
        <f t="shared" si="190"/>
        <v>111601</v>
      </c>
      <c r="AA54" s="2">
        <f t="shared" si="190"/>
        <v>125254</v>
      </c>
      <c r="AB54" s="2">
        <f t="shared" si="190"/>
        <v>140740</v>
      </c>
      <c r="AC54" s="2">
        <f t="shared" si="190"/>
        <v>161148</v>
      </c>
      <c r="AD54" s="2">
        <f t="shared" si="190"/>
        <v>206803</v>
      </c>
      <c r="BL54" s="2">
        <f>SUM(BL45:BL53)</f>
        <v>28791</v>
      </c>
      <c r="BM54" s="2">
        <f>SUM(BM45:BM53)</f>
        <v>44187</v>
      </c>
      <c r="BN54" s="2">
        <f>SUM(BN45:BN53)</f>
        <v>41182</v>
      </c>
      <c r="BO54" s="2">
        <f>SUM(BO45:BO53)</f>
        <v>65728</v>
      </c>
      <c r="BP54" s="2">
        <f>SUM(BP45:BP53)</f>
        <v>111601</v>
      </c>
    </row>
    <row r="55" spans="2:68" s="2" customFormat="1" x14ac:dyDescent="0.2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2:68" s="2" customFormat="1" x14ac:dyDescent="0.25">
      <c r="B56" s="2" t="s">
        <v>36</v>
      </c>
      <c r="C56" s="5"/>
      <c r="D56" s="5"/>
      <c r="E56" s="5"/>
      <c r="F56" s="5"/>
      <c r="G56" s="5">
        <v>761</v>
      </c>
      <c r="H56" s="5">
        <v>893</v>
      </c>
      <c r="I56" s="5">
        <v>1097</v>
      </c>
      <c r="J56" s="5">
        <v>1201</v>
      </c>
      <c r="K56" s="5">
        <v>1218</v>
      </c>
      <c r="L56" s="5">
        <v>1474</v>
      </c>
      <c r="M56" s="5">
        <v>1664</v>
      </c>
      <c r="N56" s="5">
        <v>1783</v>
      </c>
      <c r="O56" s="5">
        <v>1999</v>
      </c>
      <c r="P56" s="5">
        <v>2421</v>
      </c>
      <c r="Q56" s="5">
        <v>1491</v>
      </c>
      <c r="R56" s="5">
        <v>1193</v>
      </c>
      <c r="S56" s="2">
        <v>1141</v>
      </c>
      <c r="T56" s="2">
        <v>1929</v>
      </c>
      <c r="U56" s="2">
        <v>2380</v>
      </c>
      <c r="V56" s="2">
        <v>2699</v>
      </c>
      <c r="W56" s="2">
        <v>2715</v>
      </c>
      <c r="X56" s="2">
        <v>3680</v>
      </c>
      <c r="Y56" s="2">
        <v>5353</v>
      </c>
      <c r="Z56" s="2">
        <v>6310</v>
      </c>
      <c r="AA56" s="2">
        <v>7331</v>
      </c>
      <c r="AB56" s="2">
        <v>9064</v>
      </c>
      <c r="AC56" s="2">
        <v>8624</v>
      </c>
      <c r="AD56" s="2">
        <v>9812</v>
      </c>
      <c r="BL56" s="2">
        <f t="shared" ref="BL56:BL61" si="191">+J56</f>
        <v>1201</v>
      </c>
      <c r="BM56" s="2">
        <f t="shared" ref="BM56:BM61" si="192">+N56</f>
        <v>1783</v>
      </c>
      <c r="BN56" s="2">
        <f t="shared" ref="BN56:BN61" si="193">+R56</f>
        <v>1193</v>
      </c>
      <c r="BO56" s="2">
        <f t="shared" ref="BO56:BO61" si="194">+V56</f>
        <v>2699</v>
      </c>
      <c r="BP56" s="2">
        <f t="shared" ref="BP56:BP61" si="195">+Z56</f>
        <v>6310</v>
      </c>
    </row>
    <row r="57" spans="2:68" s="2" customFormat="1" x14ac:dyDescent="0.25">
      <c r="B57" s="2" t="s">
        <v>35</v>
      </c>
      <c r="C57" s="5"/>
      <c r="D57" s="5"/>
      <c r="E57" s="5"/>
      <c r="F57" s="5"/>
      <c r="G57" s="5">
        <v>1142</v>
      </c>
      <c r="H57" s="5">
        <v>1517</v>
      </c>
      <c r="I57" s="5">
        <v>1574</v>
      </c>
      <c r="J57" s="5">
        <v>1725</v>
      </c>
      <c r="K57" s="5">
        <v>1787</v>
      </c>
      <c r="L57" s="5">
        <v>1974</v>
      </c>
      <c r="M57" s="5">
        <v>1948</v>
      </c>
      <c r="N57" s="5">
        <v>2552</v>
      </c>
      <c r="O57" s="5">
        <v>3563</v>
      </c>
      <c r="P57" s="5">
        <v>3903</v>
      </c>
      <c r="Q57" s="5">
        <v>4115</v>
      </c>
      <c r="R57" s="5">
        <v>4120</v>
      </c>
      <c r="S57" s="2">
        <v>4869</v>
      </c>
      <c r="T57" s="2">
        <v>7156</v>
      </c>
      <c r="U57" s="2">
        <v>5472</v>
      </c>
      <c r="V57" s="2">
        <v>6682</v>
      </c>
      <c r="W57" s="2">
        <v>11258</v>
      </c>
      <c r="X57" s="2">
        <v>10289</v>
      </c>
      <c r="Y57" s="2">
        <v>11126</v>
      </c>
      <c r="Z57" s="2">
        <v>11737</v>
      </c>
      <c r="AA57" s="2">
        <v>19211</v>
      </c>
      <c r="AB57" s="2">
        <v>15193</v>
      </c>
      <c r="AC57" s="2">
        <v>16452</v>
      </c>
      <c r="AD57" s="2">
        <v>21352</v>
      </c>
      <c r="BL57" s="2">
        <f t="shared" si="191"/>
        <v>1725</v>
      </c>
      <c r="BM57" s="2">
        <f t="shared" si="192"/>
        <v>2552</v>
      </c>
      <c r="BN57" s="2">
        <f t="shared" si="193"/>
        <v>4120</v>
      </c>
      <c r="BO57" s="2">
        <f t="shared" si="194"/>
        <v>6682</v>
      </c>
      <c r="BP57" s="2">
        <f t="shared" si="195"/>
        <v>11737</v>
      </c>
    </row>
    <row r="58" spans="2:68" s="2" customFormat="1" x14ac:dyDescent="0.25">
      <c r="B58" s="2" t="s">
        <v>34</v>
      </c>
      <c r="C58" s="5"/>
      <c r="D58" s="5"/>
      <c r="E58" s="5"/>
      <c r="F58" s="5"/>
      <c r="G58" s="5">
        <v>6959</v>
      </c>
      <c r="H58" s="5">
        <v>6960</v>
      </c>
      <c r="I58" s="5">
        <f>998+5963</f>
        <v>6961</v>
      </c>
      <c r="J58" s="5">
        <f>999+5964</f>
        <v>6963</v>
      </c>
      <c r="K58" s="5">
        <f>999+5964</f>
        <v>6963</v>
      </c>
      <c r="L58" s="5">
        <f>1000+10943</f>
        <v>11943</v>
      </c>
      <c r="M58" s="5">
        <v>10944</v>
      </c>
      <c r="N58" s="5">
        <v>10946</v>
      </c>
      <c r="O58" s="5">
        <v>10947</v>
      </c>
      <c r="P58" s="5">
        <f>1249+9700</f>
        <v>10949</v>
      </c>
      <c r="Q58" s="5">
        <f>1249+9701</f>
        <v>10950</v>
      </c>
      <c r="R58" s="5">
        <f>1250+9703</f>
        <v>10953</v>
      </c>
      <c r="S58" s="2">
        <f>1250+9704</f>
        <v>10954</v>
      </c>
      <c r="T58" s="2">
        <f>1249+8456</f>
        <v>9705</v>
      </c>
      <c r="U58" s="2">
        <f>1249+8457</f>
        <v>9706</v>
      </c>
      <c r="V58" s="2">
        <f>1250+8459</f>
        <v>9709</v>
      </c>
      <c r="W58" s="2">
        <f>1250+8460</f>
        <v>9710</v>
      </c>
      <c r="X58" s="2">
        <v>8461</v>
      </c>
      <c r="Y58" s="2">
        <v>8462</v>
      </c>
      <c r="Z58" s="2">
        <v>8463</v>
      </c>
      <c r="AA58" s="2">
        <v>8464</v>
      </c>
      <c r="AB58" s="2">
        <v>8466</v>
      </c>
      <c r="AC58" s="2">
        <f>999+7468</f>
        <v>8467</v>
      </c>
      <c r="AD58" s="2">
        <f>999+7469</f>
        <v>8468</v>
      </c>
      <c r="BL58" s="2">
        <f t="shared" si="191"/>
        <v>6963</v>
      </c>
      <c r="BM58" s="2">
        <f t="shared" si="192"/>
        <v>10946</v>
      </c>
      <c r="BN58" s="2">
        <f t="shared" si="193"/>
        <v>10953</v>
      </c>
      <c r="BO58" s="2">
        <f t="shared" si="194"/>
        <v>9709</v>
      </c>
      <c r="BP58" s="2">
        <f t="shared" si="195"/>
        <v>8463</v>
      </c>
    </row>
    <row r="59" spans="2:68" s="2" customFormat="1" x14ac:dyDescent="0.25">
      <c r="B59" s="2" t="s">
        <v>33</v>
      </c>
      <c r="C59" s="5"/>
      <c r="D59" s="5"/>
      <c r="E59" s="5"/>
      <c r="F59" s="5"/>
      <c r="G59" s="5">
        <v>519</v>
      </c>
      <c r="H59" s="5">
        <v>611</v>
      </c>
      <c r="I59" s="5">
        <v>604</v>
      </c>
      <c r="J59" s="5">
        <v>634</v>
      </c>
      <c r="K59" s="5">
        <v>640</v>
      </c>
      <c r="L59" s="5">
        <v>716</v>
      </c>
      <c r="M59" s="5">
        <v>743</v>
      </c>
      <c r="N59" s="5">
        <v>741</v>
      </c>
      <c r="O59" s="5">
        <v>752</v>
      </c>
      <c r="P59" s="5">
        <v>743</v>
      </c>
      <c r="Q59" s="5">
        <v>798</v>
      </c>
      <c r="R59" s="5">
        <v>902</v>
      </c>
      <c r="S59" s="2">
        <f>939</f>
        <v>939</v>
      </c>
      <c r="T59" s="2">
        <v>1041</v>
      </c>
      <c r="U59" s="2">
        <v>1091</v>
      </c>
      <c r="V59" s="2">
        <v>1119</v>
      </c>
      <c r="W59" s="2">
        <v>1281</v>
      </c>
      <c r="X59" s="2">
        <v>1304</v>
      </c>
      <c r="Y59" s="2">
        <v>1490</v>
      </c>
      <c r="Z59" s="2">
        <v>1519</v>
      </c>
      <c r="AA59" s="2">
        <v>1521</v>
      </c>
      <c r="AB59" s="2">
        <v>1831</v>
      </c>
      <c r="AC59" s="2">
        <v>2014</v>
      </c>
      <c r="AD59" s="2">
        <v>2572</v>
      </c>
      <c r="BL59" s="2">
        <f t="shared" si="191"/>
        <v>634</v>
      </c>
      <c r="BM59" s="2">
        <f t="shared" si="192"/>
        <v>741</v>
      </c>
      <c r="BN59" s="2">
        <f t="shared" si="193"/>
        <v>902</v>
      </c>
      <c r="BO59" s="2">
        <f t="shared" si="194"/>
        <v>1119</v>
      </c>
      <c r="BP59" s="2">
        <f t="shared" si="195"/>
        <v>1519</v>
      </c>
    </row>
    <row r="60" spans="2:68" s="2" customFormat="1" x14ac:dyDescent="0.25">
      <c r="B60" s="2" t="s">
        <v>32</v>
      </c>
      <c r="C60" s="5"/>
      <c r="D60" s="5"/>
      <c r="E60" s="5"/>
      <c r="F60" s="5"/>
      <c r="G60" s="5">
        <v>774</v>
      </c>
      <c r="H60" s="5">
        <v>1285</v>
      </c>
      <c r="I60" s="5">
        <v>1311</v>
      </c>
      <c r="J60" s="5">
        <v>1375</v>
      </c>
      <c r="K60" s="5">
        <v>1414</v>
      </c>
      <c r="L60" s="5">
        <v>1396</v>
      </c>
      <c r="M60" s="5">
        <v>1535</v>
      </c>
      <c r="N60" s="5">
        <v>1553</v>
      </c>
      <c r="O60" s="5">
        <v>1631</v>
      </c>
      <c r="P60" s="5">
        <v>1609</v>
      </c>
      <c r="Q60" s="5">
        <v>1785</v>
      </c>
      <c r="R60" s="5">
        <v>1913</v>
      </c>
      <c r="S60" s="2">
        <v>2037</v>
      </c>
      <c r="T60" s="2">
        <v>2223</v>
      </c>
      <c r="U60" s="2">
        <v>2234</v>
      </c>
      <c r="V60" s="2">
        <v>2541</v>
      </c>
      <c r="W60" s="2">
        <v>2966</v>
      </c>
      <c r="X60" s="2">
        <v>3336</v>
      </c>
      <c r="Y60" s="2">
        <v>3683</v>
      </c>
      <c r="Z60" s="2">
        <v>4245</v>
      </c>
      <c r="AA60" s="2">
        <v>4884</v>
      </c>
      <c r="AB60" s="2">
        <v>6055</v>
      </c>
      <c r="AC60" s="2">
        <v>6694</v>
      </c>
      <c r="AD60" s="2">
        <v>7306</v>
      </c>
      <c r="BL60" s="2">
        <f t="shared" si="191"/>
        <v>1375</v>
      </c>
      <c r="BM60" s="2">
        <f t="shared" si="192"/>
        <v>1553</v>
      </c>
      <c r="BN60" s="2">
        <f t="shared" si="193"/>
        <v>1913</v>
      </c>
      <c r="BO60" s="2">
        <f t="shared" si="194"/>
        <v>2541</v>
      </c>
      <c r="BP60" s="2">
        <f t="shared" si="195"/>
        <v>4245</v>
      </c>
    </row>
    <row r="61" spans="2:68" s="2" customFormat="1" x14ac:dyDescent="0.25">
      <c r="B61" s="2" t="s">
        <v>31</v>
      </c>
      <c r="C61" s="5"/>
      <c r="D61" s="5"/>
      <c r="E61" s="5"/>
      <c r="F61" s="5"/>
      <c r="G61" s="5">
        <v>13099</v>
      </c>
      <c r="H61" s="5">
        <v>13914</v>
      </c>
      <c r="I61" s="5">
        <v>15334</v>
      </c>
      <c r="J61" s="5">
        <v>16893</v>
      </c>
      <c r="K61" s="5">
        <v>18774</v>
      </c>
      <c r="L61" s="5">
        <v>21147</v>
      </c>
      <c r="M61" s="5">
        <v>23798</v>
      </c>
      <c r="N61" s="5">
        <v>26612</v>
      </c>
      <c r="O61" s="5">
        <v>26320</v>
      </c>
      <c r="P61" s="5">
        <v>23851</v>
      </c>
      <c r="Q61" s="5">
        <v>21349</v>
      </c>
      <c r="R61" s="5">
        <v>22101</v>
      </c>
      <c r="S61" s="2">
        <v>24520</v>
      </c>
      <c r="T61" s="2">
        <v>27501</v>
      </c>
      <c r="U61" s="2">
        <v>33265</v>
      </c>
      <c r="V61" s="2">
        <v>42978</v>
      </c>
      <c r="W61" s="2">
        <v>49142</v>
      </c>
      <c r="X61" s="2">
        <v>58157</v>
      </c>
      <c r="Y61" s="2">
        <v>65899</v>
      </c>
      <c r="Z61" s="2">
        <v>79327</v>
      </c>
      <c r="AA61" s="2">
        <v>83843</v>
      </c>
      <c r="AB61" s="2">
        <v>100131</v>
      </c>
      <c r="AC61" s="2">
        <v>118897</v>
      </c>
      <c r="AD61" s="2">
        <v>157293</v>
      </c>
      <c r="BL61" s="2">
        <f t="shared" si="191"/>
        <v>16893</v>
      </c>
      <c r="BM61" s="2">
        <f t="shared" si="192"/>
        <v>26612</v>
      </c>
      <c r="BN61" s="2">
        <f t="shared" si="193"/>
        <v>22101</v>
      </c>
      <c r="BO61" s="2">
        <f t="shared" si="194"/>
        <v>42978</v>
      </c>
      <c r="BP61" s="2">
        <f t="shared" si="195"/>
        <v>79327</v>
      </c>
    </row>
    <row r="62" spans="2:68" s="2" customFormat="1" x14ac:dyDescent="0.25">
      <c r="B62" s="2" t="s">
        <v>30</v>
      </c>
      <c r="C62" s="5"/>
      <c r="D62" s="5"/>
      <c r="E62" s="5"/>
      <c r="F62" s="2">
        <f t="shared" ref="F62" si="196">SUM(F56:F61)</f>
        <v>0</v>
      </c>
      <c r="G62" s="2">
        <f t="shared" ref="G62:M62" si="197">SUM(G56:G61)</f>
        <v>23254</v>
      </c>
      <c r="H62" s="2">
        <f t="shared" si="197"/>
        <v>25180</v>
      </c>
      <c r="I62" s="2">
        <f t="shared" si="197"/>
        <v>26881</v>
      </c>
      <c r="J62" s="2">
        <f t="shared" si="197"/>
        <v>28791</v>
      </c>
      <c r="K62" s="2">
        <f t="shared" si="197"/>
        <v>30796</v>
      </c>
      <c r="L62" s="2">
        <f t="shared" si="197"/>
        <v>38650</v>
      </c>
      <c r="M62" s="2">
        <f t="shared" si="197"/>
        <v>40632</v>
      </c>
      <c r="N62" s="2">
        <f t="shared" ref="N62:Q62" si="198">SUM(N56:N61)</f>
        <v>44187</v>
      </c>
      <c r="O62" s="2">
        <f t="shared" si="198"/>
        <v>45212</v>
      </c>
      <c r="P62" s="2">
        <f t="shared" si="198"/>
        <v>43476</v>
      </c>
      <c r="Q62" s="2">
        <f t="shared" si="198"/>
        <v>40488</v>
      </c>
      <c r="R62" s="2">
        <f t="shared" ref="R62:S62" si="199">SUM(R56:R61)</f>
        <v>41182</v>
      </c>
      <c r="S62" s="2">
        <f t="shared" si="199"/>
        <v>44460</v>
      </c>
      <c r="T62" s="2">
        <f t="shared" ref="T62:AD62" si="200">SUM(T56:T61)</f>
        <v>49555</v>
      </c>
      <c r="U62" s="2">
        <f t="shared" si="200"/>
        <v>54148</v>
      </c>
      <c r="V62" s="2">
        <f t="shared" si="200"/>
        <v>65728</v>
      </c>
      <c r="W62" s="2">
        <f t="shared" si="200"/>
        <v>77072</v>
      </c>
      <c r="X62" s="2">
        <f t="shared" si="200"/>
        <v>85227</v>
      </c>
      <c r="Y62" s="2">
        <f t="shared" si="200"/>
        <v>96013</v>
      </c>
      <c r="Z62" s="2">
        <f t="shared" si="200"/>
        <v>111601</v>
      </c>
      <c r="AA62" s="2">
        <f t="shared" si="200"/>
        <v>125254</v>
      </c>
      <c r="AB62" s="2">
        <f t="shared" si="200"/>
        <v>140740</v>
      </c>
      <c r="AC62" s="2">
        <f t="shared" si="200"/>
        <v>161148</v>
      </c>
      <c r="AD62" s="2">
        <f t="shared" si="200"/>
        <v>206803</v>
      </c>
      <c r="BL62" s="2">
        <f>SUM(BL56:BL61)</f>
        <v>28791</v>
      </c>
      <c r="BM62" s="2">
        <f>SUM(BM56:BM61)</f>
        <v>44187</v>
      </c>
      <c r="BN62" s="2">
        <f>SUM(BN56:BN61)</f>
        <v>41182</v>
      </c>
      <c r="BO62" s="2">
        <f>SUM(BO56:BO61)</f>
        <v>65728</v>
      </c>
      <c r="BP62" s="2">
        <f>SUM(BP56:BP61)</f>
        <v>111601</v>
      </c>
    </row>
    <row r="63" spans="2:68" x14ac:dyDescent="0.25">
      <c r="S63" s="5"/>
      <c r="T63" s="2"/>
      <c r="U63" s="2"/>
    </row>
    <row r="64" spans="2:68" s="2" customFormat="1" x14ac:dyDescent="0.25">
      <c r="B64" s="2" t="s">
        <v>171</v>
      </c>
      <c r="C64" s="5"/>
      <c r="D64" s="5"/>
      <c r="E64" s="5"/>
      <c r="F64" s="5">
        <f t="shared" ref="F64:K64" si="201">F34</f>
        <v>951</v>
      </c>
      <c r="G64" s="5">
        <f t="shared" si="201"/>
        <v>917</v>
      </c>
      <c r="H64" s="5">
        <f t="shared" si="201"/>
        <v>622</v>
      </c>
      <c r="I64" s="5">
        <f t="shared" si="201"/>
        <v>1336</v>
      </c>
      <c r="J64" s="5">
        <f t="shared" si="201"/>
        <v>1457</v>
      </c>
      <c r="K64" s="5">
        <f t="shared" si="201"/>
        <v>1912</v>
      </c>
      <c r="L64" s="5">
        <f t="shared" ref="L64:R64" si="202">L34</f>
        <v>2374</v>
      </c>
      <c r="M64" s="5">
        <f t="shared" si="202"/>
        <v>2464</v>
      </c>
      <c r="N64" s="5">
        <f t="shared" si="202"/>
        <v>3003</v>
      </c>
      <c r="O64" s="5">
        <f t="shared" si="202"/>
        <v>2971</v>
      </c>
      <c r="P64" s="5">
        <f t="shared" si="202"/>
        <v>656</v>
      </c>
      <c r="Q64" s="5">
        <f t="shared" si="202"/>
        <v>680</v>
      </c>
      <c r="R64" s="5">
        <f t="shared" si="202"/>
        <v>1227</v>
      </c>
      <c r="S64" s="5">
        <f t="shared" ref="S64:AD64" si="203">S34</f>
        <v>2043</v>
      </c>
      <c r="T64" s="5">
        <f t="shared" si="203"/>
        <v>6188</v>
      </c>
      <c r="U64" s="5">
        <f t="shared" si="203"/>
        <v>9243</v>
      </c>
      <c r="V64" s="5">
        <f t="shared" si="203"/>
        <v>12285</v>
      </c>
      <c r="W64" s="5">
        <f t="shared" si="203"/>
        <v>14881</v>
      </c>
      <c r="X64" s="5">
        <f t="shared" si="203"/>
        <v>16599</v>
      </c>
      <c r="Y64" s="5">
        <f t="shared" si="203"/>
        <v>19309</v>
      </c>
      <c r="Z64" s="5">
        <f t="shared" si="203"/>
        <v>22091</v>
      </c>
      <c r="AA64" s="5">
        <f t="shared" si="203"/>
        <v>18775</v>
      </c>
      <c r="AB64" s="5">
        <f t="shared" si="203"/>
        <v>26422</v>
      </c>
      <c r="AC64" s="5">
        <f>AC34</f>
        <v>30547</v>
      </c>
      <c r="AD64" s="5">
        <f t="shared" si="203"/>
        <v>37329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J64" s="2">
        <f>Model!BJ34</f>
        <v>4141</v>
      </c>
      <c r="BK64" s="2">
        <f>Model!BK34</f>
        <v>2796</v>
      </c>
      <c r="BL64" s="2">
        <f>Model!BL34</f>
        <v>4332</v>
      </c>
      <c r="BM64" s="2">
        <f>Model!BM34</f>
        <v>9752</v>
      </c>
      <c r="BN64" s="2">
        <f>Model!BN34</f>
        <v>5537</v>
      </c>
      <c r="BO64" s="2">
        <f>Model!BO34</f>
        <v>29759</v>
      </c>
      <c r="BP64" s="2">
        <f>Model!BP34</f>
        <v>72880</v>
      </c>
    </row>
    <row r="65" spans="2:68" s="2" customFormat="1" x14ac:dyDescent="0.25">
      <c r="B65" s="2" t="s">
        <v>174</v>
      </c>
      <c r="C65" s="5"/>
      <c r="D65" s="5"/>
      <c r="E65" s="5"/>
      <c r="F65" s="5"/>
      <c r="G65" s="5">
        <v>917</v>
      </c>
      <c r="H65" s="5">
        <f>1539-G65</f>
        <v>622</v>
      </c>
      <c r="I65" s="5">
        <f>2875-H65-G65</f>
        <v>1336</v>
      </c>
      <c r="J65" s="5">
        <f>+BL65-I65-H65-G65</f>
        <v>1457</v>
      </c>
      <c r="K65" s="5">
        <v>1912</v>
      </c>
      <c r="L65" s="5">
        <f>4285-K65</f>
        <v>2373</v>
      </c>
      <c r="M65" s="5">
        <f>6749-L65-K65</f>
        <v>2464</v>
      </c>
      <c r="N65" s="5">
        <f>9752-M65-L65-K65</f>
        <v>3003</v>
      </c>
      <c r="O65" s="5">
        <v>1618</v>
      </c>
      <c r="P65" s="5">
        <f>2274-O65</f>
        <v>656</v>
      </c>
      <c r="Q65" s="5">
        <f>2954-P65-O65</f>
        <v>680</v>
      </c>
      <c r="R65" s="5">
        <f>4368-Q65-P65-O65</f>
        <v>1414</v>
      </c>
      <c r="S65" s="5">
        <v>2043</v>
      </c>
      <c r="T65" s="5">
        <f>8232-S65</f>
        <v>6189</v>
      </c>
      <c r="U65" s="5">
        <f>17475-T65-S65</f>
        <v>9243</v>
      </c>
      <c r="V65" s="5">
        <v>12285</v>
      </c>
      <c r="W65" s="5">
        <v>14881</v>
      </c>
      <c r="X65" s="5">
        <f>31480-W65</f>
        <v>16599</v>
      </c>
      <c r="Y65" s="5">
        <f>50789-X65-W65</f>
        <v>19309</v>
      </c>
      <c r="Z65" s="2">
        <v>22091</v>
      </c>
      <c r="AA65" s="2">
        <v>18775</v>
      </c>
      <c r="AB65" s="2">
        <f>45197-AA65</f>
        <v>26422</v>
      </c>
      <c r="AC65" s="2">
        <f>77107-AB65-AA65</f>
        <v>31910</v>
      </c>
      <c r="AD65" s="2">
        <v>42960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J65" s="2">
        <v>4141</v>
      </c>
      <c r="BK65" s="2">
        <v>2796</v>
      </c>
      <c r="BL65" s="2">
        <v>4332</v>
      </c>
      <c r="BM65" s="2">
        <f t="shared" ref="BM65:BM72" si="204">SUM(K65:N65)</f>
        <v>9752</v>
      </c>
      <c r="BN65" s="2">
        <f>SUM(O65:R65)</f>
        <v>4368</v>
      </c>
      <c r="BO65" s="2">
        <f>SUM(S65:V65)</f>
        <v>29760</v>
      </c>
      <c r="BP65" s="2">
        <f>SUM(W65:Z65)</f>
        <v>72880</v>
      </c>
    </row>
    <row r="66" spans="2:68" s="2" customFormat="1" x14ac:dyDescent="0.25">
      <c r="B66" s="2" t="s">
        <v>172</v>
      </c>
      <c r="C66" s="5"/>
      <c r="D66" s="5"/>
      <c r="E66" s="5"/>
      <c r="F66" s="5"/>
      <c r="G66" s="5">
        <v>0</v>
      </c>
      <c r="H66" s="5">
        <v>0</v>
      </c>
      <c r="I66" s="5">
        <v>0</v>
      </c>
      <c r="J66" s="5">
        <f t="shared" ref="J66:J72" si="205">+BL66-I66-H66-G66</f>
        <v>0</v>
      </c>
      <c r="K66" s="5">
        <v>0</v>
      </c>
      <c r="L66" s="5">
        <v>0</v>
      </c>
      <c r="M66" s="5">
        <v>0</v>
      </c>
      <c r="N66" s="5">
        <v>0</v>
      </c>
      <c r="O66" s="5">
        <v>1353</v>
      </c>
      <c r="P66" s="5">
        <f>1353-O66</f>
        <v>0</v>
      </c>
      <c r="Q66" s="5">
        <f>1353-P66-O66</f>
        <v>0</v>
      </c>
      <c r="R66" s="5">
        <f>1353-Q66-P66-O66</f>
        <v>0</v>
      </c>
      <c r="S66" s="5"/>
      <c r="T66" s="5"/>
      <c r="U66" s="5"/>
      <c r="V66" s="5"/>
      <c r="W66" s="5"/>
      <c r="X66" s="5"/>
      <c r="Y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J66" s="2">
        <v>0</v>
      </c>
      <c r="BK66" s="2">
        <v>0</v>
      </c>
      <c r="BL66" s="2">
        <v>0</v>
      </c>
      <c r="BM66" s="2">
        <f t="shared" si="204"/>
        <v>0</v>
      </c>
      <c r="BN66" s="2">
        <f t="shared" ref="BN66:BN72" si="206">SUM(O66:R66)</f>
        <v>1353</v>
      </c>
      <c r="BO66" s="2">
        <f t="shared" ref="BO66:BO72" si="207">SUM(S66:V66)</f>
        <v>0</v>
      </c>
      <c r="BP66" s="2">
        <f t="shared" ref="BP66:BP72" si="208">SUM(W66:Z66)</f>
        <v>0</v>
      </c>
    </row>
    <row r="67" spans="2:68" s="2" customFormat="1" x14ac:dyDescent="0.25">
      <c r="B67" s="2" t="s">
        <v>53</v>
      </c>
      <c r="C67" s="5"/>
      <c r="D67" s="5"/>
      <c r="E67" s="5"/>
      <c r="F67" s="5"/>
      <c r="G67" s="5">
        <v>224</v>
      </c>
      <c r="H67" s="5">
        <f>598-G67</f>
        <v>374</v>
      </c>
      <c r="I67" s="5">
        <f>981-H67-G67</f>
        <v>383</v>
      </c>
      <c r="J67" s="5">
        <f t="shared" si="205"/>
        <v>416</v>
      </c>
      <c r="K67" s="5">
        <v>429</v>
      </c>
      <c r="L67" s="5">
        <f>894-K67</f>
        <v>465</v>
      </c>
      <c r="M67" s="5">
        <f>1453-L67-K67</f>
        <v>559</v>
      </c>
      <c r="N67" s="5">
        <f>2004-M67-L67-K67</f>
        <v>551</v>
      </c>
      <c r="O67" s="5">
        <v>578</v>
      </c>
      <c r="P67" s="5">
        <f>1226-O67</f>
        <v>648</v>
      </c>
      <c r="Q67" s="5">
        <f>1971-P67-O67</f>
        <v>745</v>
      </c>
      <c r="R67" s="5">
        <f>2709-Q67-P67-O67</f>
        <v>738</v>
      </c>
      <c r="S67" s="5">
        <v>735</v>
      </c>
      <c r="T67" s="2">
        <f>1576-S67</f>
        <v>841</v>
      </c>
      <c r="U67" s="2">
        <f>2555-T67-S67</f>
        <v>979</v>
      </c>
      <c r="V67" s="2">
        <f>3549-U67-T67-S67</f>
        <v>994</v>
      </c>
      <c r="W67" s="2">
        <v>1011</v>
      </c>
      <c r="X67" s="2">
        <f>2164-W67</f>
        <v>1153</v>
      </c>
      <c r="Y67" s="2">
        <f>3416-X67-W67</f>
        <v>1252</v>
      </c>
      <c r="Z67" s="2">
        <v>1321</v>
      </c>
      <c r="AA67" s="2">
        <v>1474</v>
      </c>
      <c r="AB67" s="2">
        <f>3099-AA67</f>
        <v>1625</v>
      </c>
      <c r="AC67" s="2">
        <f>4753-AB67-AA67</f>
        <v>1654</v>
      </c>
      <c r="AD67" s="2">
        <v>1633</v>
      </c>
      <c r="BJ67" s="2">
        <v>557</v>
      </c>
      <c r="BK67" s="2">
        <v>844</v>
      </c>
      <c r="BL67" s="2">
        <v>1397</v>
      </c>
      <c r="BM67" s="2">
        <f t="shared" si="204"/>
        <v>2004</v>
      </c>
      <c r="BN67" s="2">
        <f t="shared" si="206"/>
        <v>2709</v>
      </c>
      <c r="BO67" s="2">
        <f t="shared" si="207"/>
        <v>3549</v>
      </c>
      <c r="BP67" s="2">
        <f t="shared" si="208"/>
        <v>4737</v>
      </c>
    </row>
    <row r="68" spans="2:68" s="2" customFormat="1" x14ac:dyDescent="0.25">
      <c r="B68" s="2" t="s">
        <v>55</v>
      </c>
      <c r="C68" s="5"/>
      <c r="D68" s="5"/>
      <c r="E68" s="5"/>
      <c r="F68" s="5"/>
      <c r="G68" s="5">
        <v>107</v>
      </c>
      <c r="H68" s="5">
        <f>511-G68</f>
        <v>404</v>
      </c>
      <c r="I68" s="5">
        <f>810-H68-G68</f>
        <v>299</v>
      </c>
      <c r="J68" s="5">
        <f t="shared" si="205"/>
        <v>288</v>
      </c>
      <c r="K68" s="5">
        <v>281</v>
      </c>
      <c r="L68" s="5">
        <f>567-K68</f>
        <v>286</v>
      </c>
      <c r="M68" s="5">
        <f>865-L68-K68</f>
        <v>298</v>
      </c>
      <c r="N68" s="5">
        <f>1174-M68-L68-K68</f>
        <v>309</v>
      </c>
      <c r="O68" s="5">
        <v>334</v>
      </c>
      <c r="P68" s="5">
        <f>712-O68</f>
        <v>378</v>
      </c>
      <c r="Q68" s="5">
        <f>1118-P68-O68</f>
        <v>406</v>
      </c>
      <c r="R68" s="5">
        <f>1544-Q68-P68-O68</f>
        <v>426</v>
      </c>
      <c r="S68" s="5">
        <v>384</v>
      </c>
      <c r="T68" s="2">
        <f>749-S68</f>
        <v>365</v>
      </c>
      <c r="U68" s="2">
        <f>1121-T68-S68</f>
        <v>372</v>
      </c>
      <c r="V68" s="2">
        <f>1508-U68-T68-S68</f>
        <v>387</v>
      </c>
      <c r="W68" s="2">
        <v>410</v>
      </c>
      <c r="X68" s="2">
        <f>843-W68</f>
        <v>433</v>
      </c>
      <c r="Y68" s="2">
        <f>1321-X68-W68</f>
        <v>478</v>
      </c>
      <c r="Z68" s="2">
        <v>543</v>
      </c>
      <c r="AA68" s="2">
        <v>611</v>
      </c>
      <c r="AB68" s="2">
        <f>1280-AA68</f>
        <v>669</v>
      </c>
      <c r="AC68" s="2">
        <f>2031-AB68-AA68</f>
        <v>751</v>
      </c>
      <c r="AD68" s="2">
        <v>811</v>
      </c>
      <c r="BJ68" s="2">
        <v>262</v>
      </c>
      <c r="BK68" s="2">
        <v>381</v>
      </c>
      <c r="BL68" s="2">
        <v>1098</v>
      </c>
      <c r="BM68" s="2">
        <f t="shared" si="204"/>
        <v>1174</v>
      </c>
      <c r="BN68" s="2">
        <f t="shared" si="206"/>
        <v>1544</v>
      </c>
      <c r="BO68" s="2">
        <f t="shared" si="207"/>
        <v>1508</v>
      </c>
      <c r="BP68" s="2">
        <f t="shared" si="208"/>
        <v>1864</v>
      </c>
    </row>
    <row r="69" spans="2:68" s="2" customFormat="1" x14ac:dyDescent="0.25">
      <c r="B69" s="2" t="s">
        <v>56</v>
      </c>
      <c r="C69" s="5"/>
      <c r="D69" s="5"/>
      <c r="E69" s="5"/>
      <c r="F69" s="5"/>
      <c r="G69" s="5">
        <v>0</v>
      </c>
      <c r="H69" s="5">
        <v>0</v>
      </c>
      <c r="I69" s="5">
        <v>0</v>
      </c>
      <c r="J69" s="5">
        <f t="shared" si="205"/>
        <v>0</v>
      </c>
      <c r="K69" s="5">
        <v>-133</v>
      </c>
      <c r="L69" s="5">
        <f>-133-K69</f>
        <v>0</v>
      </c>
      <c r="M69" s="5">
        <f>-152-L69-K69</f>
        <v>-19</v>
      </c>
      <c r="N69" s="5">
        <f>-100-M69-L69-K69</f>
        <v>52</v>
      </c>
      <c r="O69" s="5">
        <v>17</v>
      </c>
      <c r="P69" s="5">
        <f>24-O69</f>
        <v>7</v>
      </c>
      <c r="Q69" s="5">
        <f>35-P69-O69</f>
        <v>11</v>
      </c>
      <c r="R69" s="5">
        <f>45-Q69-P69-O69</f>
        <v>10</v>
      </c>
      <c r="S69" s="5">
        <v>14</v>
      </c>
      <c r="T69" s="2">
        <f>-45-S69</f>
        <v>-59</v>
      </c>
      <c r="U69" s="2">
        <f>24-T69-S69</f>
        <v>69</v>
      </c>
      <c r="V69" s="2">
        <f>-238-U69-T69-S69</f>
        <v>-262</v>
      </c>
      <c r="W69" s="2">
        <v>-69</v>
      </c>
      <c r="X69" s="2">
        <f>-264-W69</f>
        <v>-195</v>
      </c>
      <c r="Y69" s="2">
        <f>-302-X69-W69</f>
        <v>-38</v>
      </c>
      <c r="Z69" s="2">
        <v>-727</v>
      </c>
      <c r="AA69" s="2">
        <v>175</v>
      </c>
      <c r="AB69" s="2">
        <f>-2073-AA69</f>
        <v>-2248</v>
      </c>
      <c r="AC69" s="2">
        <f>-3426-AB69-AA69</f>
        <v>-1353</v>
      </c>
      <c r="AD69" s="2">
        <v>-5491</v>
      </c>
      <c r="BJ69" s="2">
        <v>0</v>
      </c>
      <c r="BK69" s="2">
        <v>0</v>
      </c>
      <c r="BL69" s="2">
        <v>0</v>
      </c>
      <c r="BM69" s="2">
        <f t="shared" si="204"/>
        <v>-100</v>
      </c>
      <c r="BN69" s="2">
        <f t="shared" si="206"/>
        <v>45</v>
      </c>
      <c r="BO69" s="2">
        <f t="shared" si="207"/>
        <v>-238</v>
      </c>
      <c r="BP69" s="2">
        <f t="shared" si="208"/>
        <v>-1029</v>
      </c>
    </row>
    <row r="70" spans="2:68" s="2" customFormat="1" x14ac:dyDescent="0.25">
      <c r="B70" s="2" t="s">
        <v>57</v>
      </c>
      <c r="C70" s="5"/>
      <c r="D70" s="5"/>
      <c r="E70" s="5"/>
      <c r="F70" s="5"/>
      <c r="G70" s="5">
        <v>16</v>
      </c>
      <c r="H70" s="5">
        <f>-64-G70</f>
        <v>-80</v>
      </c>
      <c r="I70" s="5">
        <f>-117-H70-G70</f>
        <v>-53</v>
      </c>
      <c r="J70" s="5">
        <f t="shared" si="205"/>
        <v>-165</v>
      </c>
      <c r="K70" s="5">
        <v>24</v>
      </c>
      <c r="L70" s="5">
        <f>-161-K70</f>
        <v>-185</v>
      </c>
      <c r="M70" s="5">
        <f>-182-L70-K70</f>
        <v>-21</v>
      </c>
      <c r="N70" s="5">
        <f>-406-M70-L70-K70</f>
        <v>-224</v>
      </c>
      <c r="O70" s="5">
        <v>-542</v>
      </c>
      <c r="P70" s="5">
        <f>-985-O70</f>
        <v>-443</v>
      </c>
      <c r="Q70" s="5">
        <f>-1517-P70-O70</f>
        <v>-532</v>
      </c>
      <c r="R70" s="5">
        <f>-2164-Q70-P70-O70</f>
        <v>-647</v>
      </c>
      <c r="S70" s="5">
        <v>-1135</v>
      </c>
      <c r="T70" s="2">
        <f>-1881-S70</f>
        <v>-746</v>
      </c>
      <c r="U70" s="2">
        <f>-2411-T70-S70</f>
        <v>-530</v>
      </c>
      <c r="V70" s="2">
        <f>-2489-U70-T70-S70</f>
        <v>-78</v>
      </c>
      <c r="W70" s="2">
        <v>-1577</v>
      </c>
      <c r="X70" s="2">
        <f>-3276-W70</f>
        <v>-1699</v>
      </c>
      <c r="Y70" s="2">
        <f>-3879-X70-W70</f>
        <v>-603</v>
      </c>
      <c r="Z70" s="2">
        <v>-598</v>
      </c>
      <c r="AA70" s="2">
        <v>-2177</v>
      </c>
      <c r="AB70" s="2">
        <f>-2160-AA70</f>
        <v>17</v>
      </c>
      <c r="AC70" s="2">
        <f>-2035-AB70-AA70</f>
        <v>125</v>
      </c>
      <c r="AD70" s="2">
        <v>611</v>
      </c>
      <c r="BJ70" s="2">
        <v>-315</v>
      </c>
      <c r="BK70" s="2">
        <v>18</v>
      </c>
      <c r="BL70" s="2">
        <v>-282</v>
      </c>
      <c r="BM70" s="2">
        <f t="shared" si="204"/>
        <v>-406</v>
      </c>
      <c r="BN70" s="2">
        <f t="shared" si="206"/>
        <v>-2164</v>
      </c>
      <c r="BO70" s="2">
        <f t="shared" si="207"/>
        <v>-2489</v>
      </c>
      <c r="BP70" s="2">
        <f t="shared" si="208"/>
        <v>-4477</v>
      </c>
    </row>
    <row r="71" spans="2:68" s="2" customFormat="1" x14ac:dyDescent="0.25">
      <c r="B71" s="2" t="s">
        <v>46</v>
      </c>
      <c r="C71" s="5"/>
      <c r="D71" s="5"/>
      <c r="E71" s="5"/>
      <c r="F71" s="5"/>
      <c r="G71" s="5">
        <v>4</v>
      </c>
      <c r="H71" s="5">
        <f>-5-G71</f>
        <v>-9</v>
      </c>
      <c r="I71" s="5">
        <f>-2-H71-G71</f>
        <v>3</v>
      </c>
      <c r="J71" s="5">
        <f t="shared" si="205"/>
        <v>-18</v>
      </c>
      <c r="K71" s="5">
        <v>-3</v>
      </c>
      <c r="L71" s="5">
        <f>16-K71</f>
        <v>19</v>
      </c>
      <c r="M71" s="5">
        <f>25-L71-K71</f>
        <v>9</v>
      </c>
      <c r="N71" s="5">
        <f>47-M71-L71-K71</f>
        <v>22</v>
      </c>
      <c r="O71" s="5">
        <v>23</v>
      </c>
      <c r="P71" s="5">
        <f>18-O71</f>
        <v>-5</v>
      </c>
      <c r="Q71" s="5">
        <f>-27-P71-O71</f>
        <v>-45</v>
      </c>
      <c r="R71" s="5">
        <f>-7-Q71-P71-O71</f>
        <v>20</v>
      </c>
      <c r="S71" s="5">
        <v>-34</v>
      </c>
      <c r="T71" s="2">
        <f>-102-S71</f>
        <v>-68</v>
      </c>
      <c r="U71" s="2">
        <f>-170-T71-S71</f>
        <v>-68</v>
      </c>
      <c r="V71" s="2">
        <f>-278-U71-T71-S71</f>
        <v>-108</v>
      </c>
      <c r="W71" s="2">
        <v>-145</v>
      </c>
      <c r="X71" s="2">
        <f>-288-W71</f>
        <v>-143</v>
      </c>
      <c r="Y71" s="2">
        <f>-365-X71-W71</f>
        <v>-77</v>
      </c>
      <c r="Z71" s="2">
        <v>-138</v>
      </c>
      <c r="AA71" s="2">
        <v>-98</v>
      </c>
      <c r="AB71" s="2">
        <f>-196-AA71</f>
        <v>-98</v>
      </c>
      <c r="AC71" s="2">
        <f>-276-AB71-AA71</f>
        <v>-80</v>
      </c>
      <c r="AD71" s="2">
        <v>-9</v>
      </c>
      <c r="BJ71" s="2">
        <v>-45</v>
      </c>
      <c r="BK71" s="2">
        <v>5</v>
      </c>
      <c r="BL71" s="2">
        <v>-20</v>
      </c>
      <c r="BM71" s="2">
        <f t="shared" si="204"/>
        <v>47</v>
      </c>
      <c r="BN71" s="2">
        <f t="shared" si="206"/>
        <v>-7</v>
      </c>
      <c r="BO71" s="2">
        <f t="shared" si="207"/>
        <v>-278</v>
      </c>
      <c r="BP71" s="2">
        <f t="shared" si="208"/>
        <v>-503</v>
      </c>
    </row>
    <row r="72" spans="2:68" s="2" customFormat="1" x14ac:dyDescent="0.25">
      <c r="B72" s="2" t="s">
        <v>58</v>
      </c>
      <c r="C72" s="5"/>
      <c r="D72" s="5"/>
      <c r="E72" s="5"/>
      <c r="F72" s="5"/>
      <c r="G72" s="5">
        <f>-249-151-8+71-32+10</f>
        <v>-359</v>
      </c>
      <c r="H72" s="5">
        <f>-205-97+34+63+81+21-G72</f>
        <v>256</v>
      </c>
      <c r="I72" s="5">
        <f>-667-190-409+289+111+74-H72-G72</f>
        <v>-689</v>
      </c>
      <c r="J72" s="5">
        <f t="shared" si="205"/>
        <v>89</v>
      </c>
      <c r="K72" s="5">
        <f>-595-159+2+70-1+47</f>
        <v>-636</v>
      </c>
      <c r="L72" s="5">
        <f>-1157-282+18+279+132+98-K72</f>
        <v>-276</v>
      </c>
      <c r="M72" s="5">
        <f>-1523-400-1557+474+70+253-L72-K72</f>
        <v>-1771</v>
      </c>
      <c r="N72" s="5">
        <f>-2215-774-1715+568+581+192-M72-L72-K72</f>
        <v>-680</v>
      </c>
      <c r="O72" s="5">
        <f>-788-560-1261+255+634+70</f>
        <v>-1650</v>
      </c>
      <c r="P72" s="5">
        <f>-668-1285-1554+559+1267+60-O72</f>
        <v>29</v>
      </c>
      <c r="Q72" s="5">
        <f>-258-1848-1307-358+1175+102-P72-O72</f>
        <v>-873</v>
      </c>
      <c r="R72" s="5">
        <f>822-2554-1517-551+1341+252-Q72-P72-O72</f>
        <v>287</v>
      </c>
      <c r="S72" s="5">
        <f>-252+566-215+11+689+105</f>
        <v>904</v>
      </c>
      <c r="T72" s="2">
        <f>-3239+861-592+789+2675+236-S72</f>
        <v>-174</v>
      </c>
      <c r="U72" s="2">
        <f>-4482+405-337+1250+953+208-T72-S72</f>
        <v>-2733</v>
      </c>
      <c r="V72" s="2">
        <f>-6172-98-1522+1531+2025+514-U72-T72-S72</f>
        <v>-1719</v>
      </c>
      <c r="W72" s="2">
        <f>-2366-577-726-22+4202+323</f>
        <v>834</v>
      </c>
      <c r="X72" s="2">
        <f>-4133-1380-12+801+3314+584-W72</f>
        <v>-1660</v>
      </c>
      <c r="Y72" s="2">
        <f>-7694-2357-726+2490+3918+849-X72-W72</f>
        <v>-2694</v>
      </c>
      <c r="Z72" s="2">
        <f>-5370-2424+331+867+360+372</f>
        <v>-5864</v>
      </c>
      <c r="AA72" s="2">
        <f>933-1258+560+941+7128+350</f>
        <v>8654</v>
      </c>
      <c r="AB72" s="2">
        <f>-4743-4880+946+2255+3075+979-AA72</f>
        <v>-11022</v>
      </c>
      <c r="AC72" s="2">
        <f>-10325-9703+857+2032+4204+1311-AB72-AA72</f>
        <v>-9256</v>
      </c>
      <c r="AD72" s="2">
        <f>-5073-1621-281+1064+1053+533</f>
        <v>-4325</v>
      </c>
      <c r="BJ72" s="2">
        <f>-149-776-55-135+256+2</f>
        <v>-857</v>
      </c>
      <c r="BK72" s="2">
        <f>-233+597+77+194+54+28</f>
        <v>717</v>
      </c>
      <c r="BL72" s="2">
        <f>-550-524-394+363+239+163</f>
        <v>-703</v>
      </c>
      <c r="BM72" s="2">
        <f t="shared" si="204"/>
        <v>-3363</v>
      </c>
      <c r="BN72" s="2">
        <f t="shared" si="206"/>
        <v>-2207</v>
      </c>
      <c r="BO72" s="2">
        <f t="shared" si="207"/>
        <v>-3722</v>
      </c>
      <c r="BP72" s="2">
        <f t="shared" si="208"/>
        <v>-9384</v>
      </c>
    </row>
    <row r="73" spans="2:68" s="2" customFormat="1" x14ac:dyDescent="0.25">
      <c r="B73" s="2" t="s">
        <v>54</v>
      </c>
      <c r="C73" s="5"/>
      <c r="D73" s="5"/>
      <c r="E73" s="5"/>
      <c r="F73" s="5"/>
      <c r="G73" s="5">
        <f t="shared" ref="G73:AD73" si="209">SUM(G65:G72)</f>
        <v>909</v>
      </c>
      <c r="H73" s="5">
        <f t="shared" si="209"/>
        <v>1567</v>
      </c>
      <c r="I73" s="5">
        <f t="shared" si="209"/>
        <v>1279</v>
      </c>
      <c r="J73" s="5">
        <f t="shared" si="209"/>
        <v>2067</v>
      </c>
      <c r="K73" s="5">
        <f t="shared" si="209"/>
        <v>1874</v>
      </c>
      <c r="L73" s="5">
        <f t="shared" si="209"/>
        <v>2682</v>
      </c>
      <c r="M73" s="5">
        <f t="shared" si="209"/>
        <v>1519</v>
      </c>
      <c r="N73" s="5">
        <f t="shared" si="209"/>
        <v>3033</v>
      </c>
      <c r="O73" s="5">
        <f t="shared" si="209"/>
        <v>1731</v>
      </c>
      <c r="P73" s="5">
        <f t="shared" si="209"/>
        <v>1270</v>
      </c>
      <c r="Q73" s="5">
        <f t="shared" si="209"/>
        <v>392</v>
      </c>
      <c r="R73" s="5">
        <f t="shared" si="209"/>
        <v>2248</v>
      </c>
      <c r="S73" s="5">
        <f t="shared" si="209"/>
        <v>2911</v>
      </c>
      <c r="T73" s="5">
        <f t="shared" si="209"/>
        <v>6348</v>
      </c>
      <c r="U73" s="5">
        <f t="shared" si="209"/>
        <v>7332</v>
      </c>
      <c r="V73" s="5">
        <f t="shared" si="209"/>
        <v>11499</v>
      </c>
      <c r="W73" s="5">
        <f t="shared" si="209"/>
        <v>15345</v>
      </c>
      <c r="X73" s="5">
        <f t="shared" si="209"/>
        <v>14488</v>
      </c>
      <c r="Y73" s="5">
        <f t="shared" si="209"/>
        <v>17627</v>
      </c>
      <c r="Z73" s="5">
        <f t="shared" si="209"/>
        <v>16628</v>
      </c>
      <c r="AA73" s="5">
        <f t="shared" si="209"/>
        <v>27414</v>
      </c>
      <c r="AB73" s="5">
        <f t="shared" si="209"/>
        <v>15365</v>
      </c>
      <c r="AC73" s="5">
        <f t="shared" si="209"/>
        <v>23751</v>
      </c>
      <c r="AD73" s="5">
        <f t="shared" si="209"/>
        <v>36190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J73" s="2">
        <f t="shared" ref="BJ73:BP73" si="210">SUM(BJ65:BJ72)</f>
        <v>3743</v>
      </c>
      <c r="BK73" s="2">
        <f t="shared" si="210"/>
        <v>4761</v>
      </c>
      <c r="BL73" s="2">
        <f t="shared" si="210"/>
        <v>5822</v>
      </c>
      <c r="BM73" s="2">
        <f t="shared" si="210"/>
        <v>9108</v>
      </c>
      <c r="BN73" s="2">
        <f t="shared" si="210"/>
        <v>5641</v>
      </c>
      <c r="BO73" s="2">
        <f t="shared" si="210"/>
        <v>28090</v>
      </c>
      <c r="BP73" s="2">
        <f t="shared" si="210"/>
        <v>64088</v>
      </c>
    </row>
    <row r="74" spans="2:68" x14ac:dyDescent="0.25">
      <c r="O74" s="5"/>
      <c r="S74" s="5"/>
      <c r="T74" s="2"/>
      <c r="U74" s="2"/>
    </row>
    <row r="75" spans="2:68" s="2" customFormat="1" x14ac:dyDescent="0.25">
      <c r="B75" s="2" t="s">
        <v>59</v>
      </c>
      <c r="C75" s="5"/>
      <c r="D75" s="5"/>
      <c r="E75" s="5"/>
      <c r="F75" s="5"/>
      <c r="G75" s="5">
        <f>1-861-6</f>
        <v>-866</v>
      </c>
      <c r="H75" s="5">
        <f>1032+259-8286-G75-7</f>
        <v>-6136</v>
      </c>
      <c r="I75" s="5">
        <f>5165+502-12840-4-H75-G75</f>
        <v>-175</v>
      </c>
      <c r="J75" s="5">
        <f t="shared" ref="J75:J77" si="211">+BL75-I75-H75-G75</f>
        <v>-2846</v>
      </c>
      <c r="K75" s="5">
        <f>3140+358-4470-2</f>
        <v>-974</v>
      </c>
      <c r="L75" s="5">
        <f>5236+705-9268-K75+3</f>
        <v>-2350</v>
      </c>
      <c r="M75" s="5">
        <f>7780+916-16020-14-L75-K75</f>
        <v>-4014</v>
      </c>
      <c r="N75" s="5">
        <f>15197+1023-24787-M75-L75-K75-24</f>
        <v>-1253</v>
      </c>
      <c r="O75" s="5">
        <f>5947+1029-3932-35</f>
        <v>3009</v>
      </c>
      <c r="P75" s="5">
        <f>10983+1731-7576-65-O75</f>
        <v>2064</v>
      </c>
      <c r="Q75" s="5">
        <f>16792+1806-9764-83-P75-O75</f>
        <v>3678</v>
      </c>
      <c r="R75" s="5">
        <f>19425+1806-11897-77-Q75-P75-O75</f>
        <v>506</v>
      </c>
      <c r="S75" s="5">
        <f>2512-2801-221</f>
        <v>-510</v>
      </c>
      <c r="T75" s="2">
        <f>5111-5343-S75-435</f>
        <v>-157</v>
      </c>
      <c r="U75" s="2">
        <f>8001-10688-T75-S75-872</f>
        <v>-2892</v>
      </c>
      <c r="V75" s="2">
        <f>9732+50-18211-U75-T75-S75-985</f>
        <v>-5855</v>
      </c>
      <c r="W75" s="2">
        <f>4004+149-9303-135</f>
        <v>-5285</v>
      </c>
      <c r="X75" s="2">
        <f>8098+164-15047-W75-534+105</f>
        <v>-1929</v>
      </c>
      <c r="Y75" s="2">
        <f>9485+318+171-19565-X75-W75-1008</f>
        <v>-3385</v>
      </c>
      <c r="Z75" s="2">
        <f>1710+177-7010-478+22</f>
        <v>-5579</v>
      </c>
      <c r="AA75" s="2">
        <f>3122+467-6546-649</f>
        <v>-3606</v>
      </c>
      <c r="AB75" s="2">
        <f>6252+487+70-14358-995-AA75</f>
        <v>-4938</v>
      </c>
      <c r="AC75" s="2">
        <f>8980+487+72-20076-AB75-AA75</f>
        <v>-1993</v>
      </c>
      <c r="AD75" s="2">
        <f>14670+2246+12-20540-12800</f>
        <v>-16412</v>
      </c>
      <c r="BJ75" s="2">
        <f>7232+428-11148-9</f>
        <v>-3497</v>
      </c>
      <c r="BK75" s="2">
        <f>4744+3365-1461-10</f>
        <v>6638</v>
      </c>
      <c r="BL75" s="2">
        <f>8792+527-19308-34</f>
        <v>-10023</v>
      </c>
      <c r="BM75" s="2">
        <f>SUM(K75:N75)</f>
        <v>-8591</v>
      </c>
      <c r="BN75" s="2">
        <f t="shared" ref="BN75:BN77" si="212">SUM(O75:R75)</f>
        <v>9257</v>
      </c>
      <c r="BO75" s="2">
        <f t="shared" ref="BO75:BO80" si="213">SUM(S75:V75)</f>
        <v>-9414</v>
      </c>
      <c r="BP75" s="2">
        <f t="shared" ref="BP75:BP80" si="214">SUM(W75:Z75)</f>
        <v>-16178</v>
      </c>
    </row>
    <row r="76" spans="2:68" s="2" customFormat="1" x14ac:dyDescent="0.25">
      <c r="B76" s="2" t="s">
        <v>60</v>
      </c>
      <c r="C76" s="5"/>
      <c r="D76" s="5"/>
      <c r="E76" s="5"/>
      <c r="F76" s="5"/>
      <c r="G76" s="5">
        <v>-155</v>
      </c>
      <c r="H76" s="5">
        <f>-372-G76</f>
        <v>-217</v>
      </c>
      <c r="I76" s="5">
        <f>-845-H76-G76</f>
        <v>-473</v>
      </c>
      <c r="J76" s="5">
        <f t="shared" si="211"/>
        <v>-283</v>
      </c>
      <c r="K76" s="5">
        <v>-298</v>
      </c>
      <c r="L76" s="5">
        <f>-481-K76</f>
        <v>-183</v>
      </c>
      <c r="M76" s="5">
        <f>-703-L76-K76</f>
        <v>-222</v>
      </c>
      <c r="N76" s="5">
        <f>-976-M76-L76-K76</f>
        <v>-273</v>
      </c>
      <c r="O76" s="5">
        <v>-361</v>
      </c>
      <c r="P76" s="5">
        <f>-794-O76</f>
        <v>-433</v>
      </c>
      <c r="Q76" s="5">
        <f>-1324-P76-O76</f>
        <v>-530</v>
      </c>
      <c r="R76" s="5">
        <f>-1833-Q76-P76-O76</f>
        <v>-509</v>
      </c>
      <c r="S76" s="5">
        <v>-248</v>
      </c>
      <c r="T76" s="2">
        <f>-537-S76</f>
        <v>-289</v>
      </c>
      <c r="U76" s="2">
        <f>-815-T76-S76</f>
        <v>-278</v>
      </c>
      <c r="V76" s="2">
        <f>-1069-U76-T76-S76</f>
        <v>-254</v>
      </c>
      <c r="W76" s="2">
        <v>-369</v>
      </c>
      <c r="X76" s="2">
        <f>-1346-W76</f>
        <v>-977</v>
      </c>
      <c r="Y76" s="2">
        <f>-2159-X76-W76</f>
        <v>-813</v>
      </c>
      <c r="Z76" s="2">
        <v>-1077</v>
      </c>
      <c r="AA76" s="2">
        <v>-1227</v>
      </c>
      <c r="AB76" s="2">
        <f>-3122-AA76</f>
        <v>-1895</v>
      </c>
      <c r="AC76" s="2">
        <f>-4758-AB76-AA76-4702</f>
        <v>-6338</v>
      </c>
      <c r="AD76" s="2">
        <v>-1284</v>
      </c>
      <c r="BJ76" s="2">
        <v>-600</v>
      </c>
      <c r="BK76" s="2">
        <v>-489</v>
      </c>
      <c r="BL76" s="2">
        <v>-1128</v>
      </c>
      <c r="BM76" s="2">
        <f>SUM(K76:N76)</f>
        <v>-976</v>
      </c>
      <c r="BN76" s="2">
        <f t="shared" si="212"/>
        <v>-1833</v>
      </c>
      <c r="BO76" s="2">
        <f t="shared" si="213"/>
        <v>-1069</v>
      </c>
      <c r="BP76" s="2">
        <f t="shared" si="214"/>
        <v>-3236</v>
      </c>
    </row>
    <row r="77" spans="2:68" s="2" customFormat="1" x14ac:dyDescent="0.25">
      <c r="B77" s="2" t="s">
        <v>61</v>
      </c>
      <c r="C77" s="5"/>
      <c r="D77" s="5"/>
      <c r="E77" s="5"/>
      <c r="F77" s="5"/>
      <c r="G77" s="5">
        <v>-34</v>
      </c>
      <c r="H77" s="5">
        <f>-7171-G77</f>
        <v>-7137</v>
      </c>
      <c r="I77" s="5">
        <f>-8524-H77-G77</f>
        <v>-1353</v>
      </c>
      <c r="J77" s="5">
        <f t="shared" si="211"/>
        <v>0</v>
      </c>
      <c r="K77" s="5">
        <v>0</v>
      </c>
      <c r="L77" s="5">
        <v>0</v>
      </c>
      <c r="M77" s="5">
        <f>-203-L77-K77</f>
        <v>-203</v>
      </c>
      <c r="N77" s="5">
        <f>-263-M77-L77-K77</f>
        <v>-60</v>
      </c>
      <c r="O77" s="5">
        <v>-36</v>
      </c>
      <c r="P77" s="5">
        <f>-49-O77</f>
        <v>-13</v>
      </c>
      <c r="Q77" s="5">
        <f>-49-P77-O77</f>
        <v>0</v>
      </c>
      <c r="R77" s="5">
        <f>-49-Q77-P77-O77</f>
        <v>0</v>
      </c>
      <c r="S77" s="5">
        <v>-83</v>
      </c>
      <c r="T77" s="2">
        <f>-83-S77</f>
        <v>0</v>
      </c>
      <c r="U77" s="2">
        <f>-83-T77-S77</f>
        <v>0</v>
      </c>
      <c r="V77" s="2">
        <f>-83-U77-T77-S77</f>
        <v>0</v>
      </c>
      <c r="W77" s="2">
        <v>-39</v>
      </c>
      <c r="X77" s="2">
        <f>-317-W77</f>
        <v>-278</v>
      </c>
      <c r="Y77" s="2">
        <f>-465-X77-W77</f>
        <v>-148</v>
      </c>
      <c r="Z77" s="2">
        <v>-542</v>
      </c>
      <c r="AA77" s="2">
        <v>-383</v>
      </c>
      <c r="AB77" s="2">
        <f>-677-AA77</f>
        <v>-294</v>
      </c>
      <c r="AC77" s="2">
        <f>-1370-AB77-AA77</f>
        <v>-693</v>
      </c>
      <c r="AD77" s="2">
        <f>-13000-165</f>
        <v>-13165</v>
      </c>
      <c r="BJ77" s="2">
        <v>0</v>
      </c>
      <c r="BK77" s="2">
        <v>-4</v>
      </c>
      <c r="BL77" s="2">
        <v>-8524</v>
      </c>
      <c r="BM77" s="2">
        <f>SUM(K77:N77)</f>
        <v>-263</v>
      </c>
      <c r="BN77" s="2">
        <f t="shared" si="212"/>
        <v>-49</v>
      </c>
      <c r="BO77" s="2">
        <f t="shared" si="213"/>
        <v>-83</v>
      </c>
      <c r="BP77" s="2">
        <f t="shared" si="214"/>
        <v>-1007</v>
      </c>
    </row>
    <row r="78" spans="2:68" s="2" customFormat="1" x14ac:dyDescent="0.25">
      <c r="B78" s="2" t="s">
        <v>62</v>
      </c>
      <c r="C78" s="5"/>
      <c r="D78" s="5"/>
      <c r="E78" s="5"/>
      <c r="F78" s="5"/>
      <c r="G78" s="5">
        <f t="shared" ref="G78:N78" si="215">SUM(G75:G77)</f>
        <v>-1055</v>
      </c>
      <c r="H78" s="5">
        <f t="shared" si="215"/>
        <v>-13490</v>
      </c>
      <c r="I78" s="5">
        <f t="shared" si="215"/>
        <v>-2001</v>
      </c>
      <c r="J78" s="5">
        <f t="shared" si="215"/>
        <v>-3129</v>
      </c>
      <c r="K78" s="5">
        <f t="shared" si="215"/>
        <v>-1272</v>
      </c>
      <c r="L78" s="5">
        <f t="shared" si="215"/>
        <v>-2533</v>
      </c>
      <c r="M78" s="5">
        <f t="shared" si="215"/>
        <v>-4439</v>
      </c>
      <c r="N78" s="5">
        <f t="shared" si="215"/>
        <v>-1586</v>
      </c>
      <c r="O78" s="5">
        <f t="shared" ref="O78:S78" si="216">SUM(O75:O77)</f>
        <v>2612</v>
      </c>
      <c r="P78" s="5">
        <f t="shared" si="216"/>
        <v>1618</v>
      </c>
      <c r="Q78" s="5">
        <f t="shared" si="216"/>
        <v>3148</v>
      </c>
      <c r="R78" s="5">
        <f t="shared" si="216"/>
        <v>-3</v>
      </c>
      <c r="S78" s="5">
        <f t="shared" si="216"/>
        <v>-841</v>
      </c>
      <c r="T78" s="5">
        <f t="shared" ref="T78:AD78" si="217">SUM(T75:T77)</f>
        <v>-446</v>
      </c>
      <c r="U78" s="5">
        <f t="shared" si="217"/>
        <v>-3170</v>
      </c>
      <c r="V78" s="5">
        <f t="shared" si="217"/>
        <v>-6109</v>
      </c>
      <c r="W78" s="5">
        <f t="shared" si="217"/>
        <v>-5693</v>
      </c>
      <c r="X78" s="5">
        <f t="shared" si="217"/>
        <v>-3184</v>
      </c>
      <c r="Y78" s="5">
        <f t="shared" si="217"/>
        <v>-4346</v>
      </c>
      <c r="Z78" s="5">
        <f t="shared" si="217"/>
        <v>-7198</v>
      </c>
      <c r="AA78" s="5">
        <f t="shared" si="217"/>
        <v>-5216</v>
      </c>
      <c r="AB78" s="5">
        <f t="shared" si="217"/>
        <v>-7127</v>
      </c>
      <c r="AC78" s="5">
        <f t="shared" si="217"/>
        <v>-9024</v>
      </c>
      <c r="AD78" s="5">
        <f t="shared" si="217"/>
        <v>-30861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J78" s="2">
        <f t="shared" ref="BJ78:BK78" si="218">SUM(BJ75:BJ77)</f>
        <v>-4097</v>
      </c>
      <c r="BK78" s="2">
        <f t="shared" si="218"/>
        <v>6145</v>
      </c>
      <c r="BL78" s="2">
        <f>SUM(BL75:BL77)</f>
        <v>-19675</v>
      </c>
      <c r="BM78" s="2">
        <f>SUM(BM75:BM77)</f>
        <v>-9830</v>
      </c>
      <c r="BN78" s="2">
        <f>SUM(BN75:BN77)</f>
        <v>7375</v>
      </c>
      <c r="BO78" s="2">
        <f>SUM(BO75:BO77)</f>
        <v>-10566</v>
      </c>
      <c r="BP78" s="2">
        <f>SUM(BP75:BP77)</f>
        <v>-20421</v>
      </c>
    </row>
    <row r="79" spans="2:68" x14ac:dyDescent="0.25">
      <c r="O79" s="5"/>
    </row>
    <row r="80" spans="2:68" s="2" customFormat="1" x14ac:dyDescent="0.25">
      <c r="B80" s="2" t="s">
        <v>65</v>
      </c>
      <c r="C80" s="5"/>
      <c r="D80" s="5"/>
      <c r="E80" s="5"/>
      <c r="F80" s="5"/>
      <c r="G80" s="5">
        <v>88</v>
      </c>
      <c r="H80" s="5">
        <f>94-G80</f>
        <v>6</v>
      </c>
      <c r="I80" s="5">
        <f>190-H80-G80</f>
        <v>96</v>
      </c>
      <c r="J80" s="5">
        <f t="shared" ref="J80:J85" si="219">+BL80-I80-H80-G80</f>
        <v>4</v>
      </c>
      <c r="K80" s="5">
        <v>126</v>
      </c>
      <c r="L80" s="5">
        <f>128-K80</f>
        <v>2</v>
      </c>
      <c r="M80" s="5">
        <f>277-L80-K80</f>
        <v>149</v>
      </c>
      <c r="N80" s="5">
        <f>281-M80-L80-K80</f>
        <v>4</v>
      </c>
      <c r="O80" s="5">
        <v>204</v>
      </c>
      <c r="P80" s="5">
        <f>205-O80</f>
        <v>1</v>
      </c>
      <c r="Q80" s="5">
        <f>349-P80-O80</f>
        <v>144</v>
      </c>
      <c r="R80" s="5">
        <f>355-Q80-P80-O80</f>
        <v>6</v>
      </c>
      <c r="S80" s="5">
        <f>246</f>
        <v>246</v>
      </c>
      <c r="T80" s="2">
        <f>247-S80</f>
        <v>1</v>
      </c>
      <c r="U80" s="2">
        <f>403-T80-S80</f>
        <v>156</v>
      </c>
      <c r="V80" s="2">
        <f>403-U80-T80-S80</f>
        <v>0</v>
      </c>
      <c r="W80" s="2">
        <v>285</v>
      </c>
      <c r="X80" s="2">
        <f>285-W80</f>
        <v>0</v>
      </c>
      <c r="Y80" s="2">
        <f>489-X80-W80</f>
        <v>204</v>
      </c>
      <c r="Z80" s="2">
        <v>0</v>
      </c>
      <c r="AA80" s="2">
        <v>370</v>
      </c>
      <c r="AB80" s="2">
        <f>370-AA80</f>
        <v>0</v>
      </c>
      <c r="AC80" s="2">
        <f>643-AB80-AA80</f>
        <v>273</v>
      </c>
      <c r="AD80" s="2">
        <v>-2139</v>
      </c>
      <c r="BJ80" s="2">
        <v>137</v>
      </c>
      <c r="BK80" s="2">
        <v>149</v>
      </c>
      <c r="BL80" s="2">
        <v>194</v>
      </c>
      <c r="BM80" s="2">
        <f t="shared" ref="BM80:BM85" si="220">SUM(K80:N80)</f>
        <v>281</v>
      </c>
      <c r="BN80" s="2">
        <f t="shared" ref="BN80:BN85" si="221">SUM(O80:R80)</f>
        <v>355</v>
      </c>
      <c r="BO80" s="2">
        <f t="shared" si="213"/>
        <v>403</v>
      </c>
      <c r="BP80" s="2">
        <f t="shared" si="214"/>
        <v>489</v>
      </c>
    </row>
    <row r="81" spans="2:78" s="2" customFormat="1" x14ac:dyDescent="0.25">
      <c r="B81" s="2" t="s">
        <v>66</v>
      </c>
      <c r="C81" s="5"/>
      <c r="D81" s="5"/>
      <c r="E81" s="5"/>
      <c r="F81" s="5"/>
      <c r="G81" s="5">
        <v>-222</v>
      </c>
      <c r="H81" s="5">
        <f>-418-G81</f>
        <v>-196</v>
      </c>
      <c r="I81" s="5">
        <f>-716-H81-G81</f>
        <v>-298</v>
      </c>
      <c r="J81" s="5">
        <f t="shared" si="219"/>
        <v>-226</v>
      </c>
      <c r="K81" s="5">
        <v>-477</v>
      </c>
      <c r="L81" s="5">
        <f>-843-K81</f>
        <v>-366</v>
      </c>
      <c r="M81" s="5">
        <f>-1282-L81-K81</f>
        <v>-439</v>
      </c>
      <c r="N81" s="5">
        <f>-1904-M81-L81-K81</f>
        <v>-622</v>
      </c>
      <c r="O81" s="5">
        <v>-532</v>
      </c>
      <c r="P81" s="5">
        <f>-837-O81</f>
        <v>-305</v>
      </c>
      <c r="Q81" s="5">
        <f>-1131-P81-O81</f>
        <v>-294</v>
      </c>
      <c r="R81" s="5">
        <f>-1475-Q81-P81-O81</f>
        <v>-344</v>
      </c>
      <c r="S81" s="5">
        <v>-507</v>
      </c>
      <c r="T81" s="2">
        <f>-1179-S81</f>
        <v>-672</v>
      </c>
      <c r="U81" s="2">
        <f>-1942-T81-S81</f>
        <v>-763</v>
      </c>
      <c r="V81" s="2">
        <f>-2783-U81-T81-S81</f>
        <v>-841</v>
      </c>
      <c r="W81" s="2">
        <v>-1752</v>
      </c>
      <c r="X81" s="2">
        <f>-3389-W81</f>
        <v>-1637</v>
      </c>
      <c r="Y81" s="2">
        <f>-5068-X81-W81</f>
        <v>-1679</v>
      </c>
      <c r="Z81" s="2">
        <v>-1861</v>
      </c>
      <c r="AA81" s="2">
        <v>-1532</v>
      </c>
      <c r="AB81" s="2">
        <f>-3380-AA81</f>
        <v>-1848</v>
      </c>
      <c r="AC81" s="2">
        <f>-5809-AB81-AA81</f>
        <v>-2429</v>
      </c>
      <c r="AD81" s="2">
        <v>0</v>
      </c>
      <c r="BJ81" s="2">
        <v>-1032</v>
      </c>
      <c r="BK81" s="2">
        <v>-551</v>
      </c>
      <c r="BL81" s="2">
        <v>-942</v>
      </c>
      <c r="BM81" s="2">
        <f t="shared" si="220"/>
        <v>-1904</v>
      </c>
      <c r="BN81" s="2">
        <f t="shared" si="221"/>
        <v>-1475</v>
      </c>
      <c r="BO81" s="2">
        <f t="shared" ref="BO81:BO85" si="222">SUM(S81:V81)</f>
        <v>-2783</v>
      </c>
      <c r="BP81" s="2">
        <f t="shared" ref="BP81:BP85" si="223">SUM(W81:Z81)</f>
        <v>-6929</v>
      </c>
    </row>
    <row r="82" spans="2:78" s="2" customFormat="1" x14ac:dyDescent="0.25">
      <c r="B82" s="2" t="s">
        <v>67</v>
      </c>
      <c r="C82" s="5"/>
      <c r="D82" s="5"/>
      <c r="E82" s="5"/>
      <c r="F82" s="5"/>
      <c r="G82" s="5">
        <v>-98</v>
      </c>
      <c r="H82" s="5">
        <f>-197-G82</f>
        <v>-99</v>
      </c>
      <c r="I82" s="5">
        <f>-296-H82-G82</f>
        <v>-99</v>
      </c>
      <c r="J82" s="5">
        <f t="shared" si="219"/>
        <v>-99</v>
      </c>
      <c r="K82" s="5">
        <v>-99</v>
      </c>
      <c r="L82" s="5">
        <f>-198-K82</f>
        <v>-99</v>
      </c>
      <c r="M82" s="5">
        <f>-298-L82-K82</f>
        <v>-100</v>
      </c>
      <c r="N82" s="5">
        <f>-399-M82-L82-K82</f>
        <v>-101</v>
      </c>
      <c r="O82" s="5">
        <v>-100</v>
      </c>
      <c r="P82" s="5">
        <f>-200-O82</f>
        <v>-100</v>
      </c>
      <c r="Q82" s="5">
        <f>-300-P82-O82</f>
        <v>-100</v>
      </c>
      <c r="R82" s="5">
        <f>-398-Q82-P82-O82</f>
        <v>-98</v>
      </c>
      <c r="S82" s="5">
        <v>-99</v>
      </c>
      <c r="T82" s="2">
        <f>-199-S82</f>
        <v>-100</v>
      </c>
      <c r="U82" s="2">
        <f>-296-T82-S82</f>
        <v>-97</v>
      </c>
      <c r="V82" s="2">
        <f>-395-U82-T82-S82</f>
        <v>-99</v>
      </c>
      <c r="W82" s="2">
        <v>-98</v>
      </c>
      <c r="X82" s="2">
        <f>-344-W82</f>
        <v>-246</v>
      </c>
      <c r="Y82" s="2">
        <f>-589-X82-W82</f>
        <v>-245</v>
      </c>
      <c r="Z82" s="2">
        <v>-245</v>
      </c>
      <c r="AA82" s="2">
        <v>-244</v>
      </c>
      <c r="AB82" s="2">
        <f>-488-AA82</f>
        <v>-244</v>
      </c>
      <c r="AC82" s="2">
        <f>-732-AB82-AA82</f>
        <v>-244</v>
      </c>
      <c r="AD82" s="2">
        <v>-243</v>
      </c>
      <c r="BJ82" s="2">
        <v>-371</v>
      </c>
      <c r="BK82" s="2">
        <v>-390</v>
      </c>
      <c r="BL82" s="2">
        <v>-395</v>
      </c>
      <c r="BM82" s="2">
        <f t="shared" si="220"/>
        <v>-399</v>
      </c>
      <c r="BN82" s="2">
        <f t="shared" si="221"/>
        <v>-398</v>
      </c>
      <c r="BO82" s="2">
        <f t="shared" si="222"/>
        <v>-395</v>
      </c>
      <c r="BP82" s="2">
        <f t="shared" si="223"/>
        <v>-834</v>
      </c>
    </row>
    <row r="83" spans="2:78" s="2" customFormat="1" x14ac:dyDescent="0.25">
      <c r="B83" s="2" t="s">
        <v>69</v>
      </c>
      <c r="C83" s="5"/>
      <c r="D83" s="5"/>
      <c r="E83" s="5"/>
      <c r="F83" s="5"/>
      <c r="G83" s="5">
        <v>0</v>
      </c>
      <c r="H83" s="5">
        <v>0</v>
      </c>
      <c r="I83" s="5">
        <v>0</v>
      </c>
      <c r="J83" s="5">
        <f t="shared" si="219"/>
        <v>0</v>
      </c>
      <c r="K83" s="5">
        <v>0</v>
      </c>
      <c r="L83" s="5">
        <v>0</v>
      </c>
      <c r="M83" s="5">
        <v>0</v>
      </c>
      <c r="N83" s="5">
        <v>0</v>
      </c>
      <c r="O83" s="5">
        <v>-1996</v>
      </c>
      <c r="P83" s="5">
        <f>-5341-O83</f>
        <v>-3345</v>
      </c>
      <c r="Q83" s="5">
        <f>-8826-P83-O83</f>
        <v>-3485</v>
      </c>
      <c r="R83" s="5">
        <f>-10039-Q83-P83-O83</f>
        <v>-1213</v>
      </c>
      <c r="S83" s="5">
        <v>0</v>
      </c>
      <c r="T83" s="2">
        <f>-3067-S83</f>
        <v>-3067</v>
      </c>
      <c r="U83" s="2">
        <f>-6874-T83-S83</f>
        <v>-3807</v>
      </c>
      <c r="V83" s="2">
        <f>-9533-U83-T83-S83</f>
        <v>-2659</v>
      </c>
      <c r="W83" s="2">
        <v>-7740</v>
      </c>
      <c r="X83" s="2">
        <f>-14898-W83</f>
        <v>-7158</v>
      </c>
      <c r="Y83" s="2">
        <f>-25895-X83-W83</f>
        <v>-10997</v>
      </c>
      <c r="Z83" s="2">
        <v>-7810</v>
      </c>
      <c r="AA83" s="2">
        <v>-14095</v>
      </c>
      <c r="AB83" s="2">
        <f>-23815-AA83</f>
        <v>-9720</v>
      </c>
      <c r="AC83" s="2">
        <f>-36271-AB83-AA83</f>
        <v>-12456</v>
      </c>
      <c r="AD83" s="2">
        <v>-3815</v>
      </c>
      <c r="BJ83" s="2">
        <v>-1579</v>
      </c>
      <c r="BK83" s="2">
        <v>0</v>
      </c>
      <c r="BL83" s="2">
        <v>0</v>
      </c>
      <c r="BM83" s="2">
        <f t="shared" si="220"/>
        <v>0</v>
      </c>
      <c r="BN83" s="2">
        <f t="shared" si="221"/>
        <v>-10039</v>
      </c>
      <c r="BO83" s="2">
        <f t="shared" si="222"/>
        <v>-9533</v>
      </c>
      <c r="BP83" s="2">
        <f t="shared" si="223"/>
        <v>-33705</v>
      </c>
    </row>
    <row r="84" spans="2:78" s="2" customFormat="1" x14ac:dyDescent="0.25">
      <c r="B84" s="2" t="s">
        <v>34</v>
      </c>
      <c r="C84" s="5"/>
      <c r="D84" s="5"/>
      <c r="E84" s="5"/>
      <c r="F84" s="5"/>
      <c r="G84" s="5">
        <f>4979-3</f>
        <v>4976</v>
      </c>
      <c r="H84" s="5">
        <f>4971-3-G84</f>
        <v>-8</v>
      </c>
      <c r="I84" s="5">
        <f>4971-3-H84-G84</f>
        <v>0</v>
      </c>
      <c r="J84" s="5">
        <f t="shared" si="219"/>
        <v>-4</v>
      </c>
      <c r="K84" s="5">
        <v>0</v>
      </c>
      <c r="L84" s="5">
        <f>4985-K84</f>
        <v>4985</v>
      </c>
      <c r="M84" s="5">
        <f>4977-1000-L84-K84</f>
        <v>-1008</v>
      </c>
      <c r="N84" s="5">
        <f>4977-1000-M84-L84-K84</f>
        <v>0</v>
      </c>
      <c r="O84" s="5">
        <v>-22</v>
      </c>
      <c r="P84" s="5">
        <f>0-O84</f>
        <v>22</v>
      </c>
      <c r="Q84" s="5">
        <f>1-P84-O84</f>
        <v>1</v>
      </c>
      <c r="R84" s="5">
        <f>-2-Q84-P84-O84</f>
        <v>-3</v>
      </c>
      <c r="S84" s="5">
        <v>0</v>
      </c>
      <c r="T84" s="2">
        <f>-1250-S84</f>
        <v>-1250</v>
      </c>
      <c r="U84" s="2">
        <f>-1250-T84-S84</f>
        <v>0</v>
      </c>
      <c r="V84" s="2">
        <f>-1250-U84-T84-S84</f>
        <v>0</v>
      </c>
      <c r="W84" s="2">
        <v>0</v>
      </c>
      <c r="X84" s="2">
        <v>-1250</v>
      </c>
      <c r="Y84" s="2">
        <f>-1250-X84-W84</f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BJ84" s="2">
        <f>-16-5</f>
        <v>-21</v>
      </c>
      <c r="BK84" s="2">
        <v>0</v>
      </c>
      <c r="BL84" s="2">
        <f>4968-4</f>
        <v>4964</v>
      </c>
      <c r="BM84" s="2">
        <f t="shared" si="220"/>
        <v>3977</v>
      </c>
      <c r="BN84" s="2">
        <f t="shared" si="221"/>
        <v>-2</v>
      </c>
      <c r="BO84" s="2">
        <f t="shared" si="222"/>
        <v>-1250</v>
      </c>
      <c r="BP84" s="2">
        <f t="shared" si="223"/>
        <v>-1250</v>
      </c>
    </row>
    <row r="85" spans="2:78" s="2" customFormat="1" x14ac:dyDescent="0.25">
      <c r="B85" s="2" t="s">
        <v>68</v>
      </c>
      <c r="C85" s="5"/>
      <c r="D85" s="5"/>
      <c r="E85" s="5"/>
      <c r="F85" s="5"/>
      <c r="G85" s="5">
        <v>0</v>
      </c>
      <c r="H85" s="5">
        <v>0</v>
      </c>
      <c r="I85" s="5">
        <v>0</v>
      </c>
      <c r="J85" s="5">
        <f t="shared" si="219"/>
        <v>-17</v>
      </c>
      <c r="K85" s="5">
        <f>-19-2</f>
        <v>-21</v>
      </c>
      <c r="L85" s="5">
        <f>-40-2-K85</f>
        <v>-21</v>
      </c>
      <c r="M85" s="5">
        <f>-62-2-L85-K85</f>
        <v>-22</v>
      </c>
      <c r="N85" s="5">
        <f>-83-M85-L85-K85-7</f>
        <v>-26</v>
      </c>
      <c r="O85" s="5">
        <v>0</v>
      </c>
      <c r="P85" s="5">
        <f>-36+1-O85</f>
        <v>-35</v>
      </c>
      <c r="Q85" s="5">
        <f>-54-P85-O85</f>
        <v>-19</v>
      </c>
      <c r="R85" s="5">
        <f>-58-Q85-P85-O85</f>
        <v>-4</v>
      </c>
      <c r="S85" s="5">
        <v>-20</v>
      </c>
      <c r="T85" s="2">
        <f>-31-S85</f>
        <v>-11</v>
      </c>
      <c r="U85" s="2">
        <f>-44-T85-S85</f>
        <v>-13</v>
      </c>
      <c r="V85" s="2">
        <f>-74-U85-T85-S85</f>
        <v>-30</v>
      </c>
      <c r="W85" s="2">
        <v>-40</v>
      </c>
      <c r="X85" s="2">
        <f>-69-W85</f>
        <v>-29</v>
      </c>
      <c r="Y85" s="2">
        <f>-97-X85-W85</f>
        <v>-28</v>
      </c>
      <c r="Z85" s="2">
        <v>-32</v>
      </c>
      <c r="AA85" s="2">
        <v>-52</v>
      </c>
      <c r="AB85" s="2">
        <f>-73-AA85</f>
        <v>-21</v>
      </c>
      <c r="AC85" s="2">
        <f>-97-AB85-AA85</f>
        <v>-24</v>
      </c>
      <c r="AD85" s="2">
        <f>-4-9</f>
        <v>-13</v>
      </c>
      <c r="BJ85" s="2">
        <v>0</v>
      </c>
      <c r="BK85" s="2">
        <v>0</v>
      </c>
      <c r="BL85" s="2">
        <v>-17</v>
      </c>
      <c r="BM85" s="2">
        <f t="shared" si="220"/>
        <v>-90</v>
      </c>
      <c r="BN85" s="2">
        <f t="shared" si="221"/>
        <v>-58</v>
      </c>
      <c r="BO85" s="2">
        <f t="shared" si="222"/>
        <v>-74</v>
      </c>
      <c r="BP85" s="2">
        <f t="shared" si="223"/>
        <v>-129</v>
      </c>
    </row>
    <row r="86" spans="2:78" s="2" customFormat="1" x14ac:dyDescent="0.25">
      <c r="B86" s="2" t="s">
        <v>64</v>
      </c>
      <c r="C86" s="5"/>
      <c r="D86" s="5"/>
      <c r="E86" s="5"/>
      <c r="F86" s="5"/>
      <c r="G86" s="5">
        <f t="shared" ref="G86:N86" si="224">SUM(G80:G85)</f>
        <v>4744</v>
      </c>
      <c r="H86" s="5">
        <f t="shared" si="224"/>
        <v>-297</v>
      </c>
      <c r="I86" s="5">
        <f t="shared" si="224"/>
        <v>-301</v>
      </c>
      <c r="J86" s="5">
        <f t="shared" si="224"/>
        <v>-342</v>
      </c>
      <c r="K86" s="5">
        <f t="shared" si="224"/>
        <v>-471</v>
      </c>
      <c r="L86" s="5">
        <f t="shared" si="224"/>
        <v>4501</v>
      </c>
      <c r="M86" s="5">
        <f t="shared" si="224"/>
        <v>-1420</v>
      </c>
      <c r="N86" s="5">
        <f t="shared" si="224"/>
        <v>-745</v>
      </c>
      <c r="O86" s="5">
        <f t="shared" ref="O86:S86" si="225">SUM(O80:O85)</f>
        <v>-2446</v>
      </c>
      <c r="P86" s="5">
        <f t="shared" si="225"/>
        <v>-3762</v>
      </c>
      <c r="Q86" s="5">
        <f t="shared" si="225"/>
        <v>-3753</v>
      </c>
      <c r="R86" s="5">
        <f t="shared" si="225"/>
        <v>-1656</v>
      </c>
      <c r="S86" s="5">
        <f t="shared" si="225"/>
        <v>-380</v>
      </c>
      <c r="T86" s="5">
        <f t="shared" ref="T86:AC86" si="226">SUM(T80:T85)</f>
        <v>-5099</v>
      </c>
      <c r="U86" s="5">
        <f t="shared" si="226"/>
        <v>-4524</v>
      </c>
      <c r="V86" s="5">
        <f t="shared" si="226"/>
        <v>-3629</v>
      </c>
      <c r="W86" s="5">
        <f t="shared" si="226"/>
        <v>-9345</v>
      </c>
      <c r="X86" s="5">
        <f t="shared" si="226"/>
        <v>-10320</v>
      </c>
      <c r="Y86" s="5">
        <f t="shared" si="226"/>
        <v>-12745</v>
      </c>
      <c r="Z86" s="5">
        <f t="shared" si="226"/>
        <v>-9948</v>
      </c>
      <c r="AA86" s="5">
        <f t="shared" si="226"/>
        <v>-15553</v>
      </c>
      <c r="AB86" s="5">
        <f t="shared" si="226"/>
        <v>-11833</v>
      </c>
      <c r="AC86" s="5">
        <f t="shared" si="226"/>
        <v>-14880</v>
      </c>
      <c r="AD86" s="5">
        <f>SUM(AD80:AD85)</f>
        <v>-6210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J86" s="2">
        <f t="shared" ref="BJ86:BP86" si="227">SUM(BJ80:BJ85)</f>
        <v>-2866</v>
      </c>
      <c r="BK86" s="2">
        <f t="shared" si="227"/>
        <v>-792</v>
      </c>
      <c r="BL86" s="2">
        <f t="shared" si="227"/>
        <v>3804</v>
      </c>
      <c r="BM86" s="2">
        <f t="shared" si="227"/>
        <v>1865</v>
      </c>
      <c r="BN86" s="2">
        <f t="shared" si="227"/>
        <v>-11617</v>
      </c>
      <c r="BO86" s="2">
        <f t="shared" si="227"/>
        <v>-13632</v>
      </c>
      <c r="BP86" s="2">
        <f t="shared" si="227"/>
        <v>-42358</v>
      </c>
    </row>
    <row r="87" spans="2:78" x14ac:dyDescent="0.25">
      <c r="B87" t="s">
        <v>63</v>
      </c>
      <c r="F87" s="5"/>
      <c r="G87" s="5">
        <f t="shared" ref="G87:N87" si="228">G86+G78+G73</f>
        <v>4598</v>
      </c>
      <c r="H87" s="5">
        <f t="shared" si="228"/>
        <v>-12220</v>
      </c>
      <c r="I87" s="5">
        <f t="shared" si="228"/>
        <v>-1023</v>
      </c>
      <c r="J87" s="5">
        <f t="shared" si="228"/>
        <v>-1404</v>
      </c>
      <c r="K87" s="5">
        <f t="shared" si="228"/>
        <v>131</v>
      </c>
      <c r="L87" s="5">
        <f t="shared" si="228"/>
        <v>4650</v>
      </c>
      <c r="M87" s="5">
        <f t="shared" si="228"/>
        <v>-4340</v>
      </c>
      <c r="N87" s="5">
        <f t="shared" si="228"/>
        <v>702</v>
      </c>
      <c r="O87" s="5">
        <f t="shared" ref="O87:R87" si="229">O86+O78+O73</f>
        <v>1897</v>
      </c>
      <c r="P87" s="5">
        <f t="shared" si="229"/>
        <v>-874</v>
      </c>
      <c r="Q87" s="5">
        <f t="shared" si="229"/>
        <v>-213</v>
      </c>
      <c r="R87" s="5">
        <f t="shared" si="229"/>
        <v>589</v>
      </c>
      <c r="S87" s="5">
        <f t="shared" ref="S87:AD87" si="230">S86+S78+S73</f>
        <v>1690</v>
      </c>
      <c r="T87" s="5">
        <f t="shared" si="230"/>
        <v>803</v>
      </c>
      <c r="U87" s="5">
        <f t="shared" si="230"/>
        <v>-362</v>
      </c>
      <c r="V87" s="5">
        <f t="shared" si="230"/>
        <v>1761</v>
      </c>
      <c r="W87" s="5">
        <f t="shared" si="230"/>
        <v>307</v>
      </c>
      <c r="X87" s="5">
        <f t="shared" si="230"/>
        <v>984</v>
      </c>
      <c r="Y87" s="5">
        <f t="shared" si="230"/>
        <v>536</v>
      </c>
      <c r="Z87" s="5">
        <f t="shared" si="230"/>
        <v>-518</v>
      </c>
      <c r="AA87" s="5">
        <f t="shared" si="230"/>
        <v>6645</v>
      </c>
      <c r="AB87" s="5">
        <f t="shared" si="230"/>
        <v>-3595</v>
      </c>
      <c r="AC87" s="5">
        <f t="shared" si="230"/>
        <v>-153</v>
      </c>
      <c r="AD87" s="5">
        <f t="shared" si="230"/>
        <v>-881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J87" s="5"/>
      <c r="BK87" s="5">
        <f t="shared" ref="BK87:BN87" si="231">BK86+BK78+BK73</f>
        <v>10114</v>
      </c>
      <c r="BL87" s="5">
        <f t="shared" si="231"/>
        <v>-10049</v>
      </c>
      <c r="BM87" s="5">
        <f t="shared" si="231"/>
        <v>1143</v>
      </c>
      <c r="BN87" s="5">
        <f t="shared" si="231"/>
        <v>1399</v>
      </c>
      <c r="BO87" s="5">
        <f>BO86+BO78+BO73</f>
        <v>3892</v>
      </c>
      <c r="BP87" s="5">
        <f>BP86+BP78+BP73</f>
        <v>1309</v>
      </c>
    </row>
    <row r="89" spans="2:78" x14ac:dyDescent="0.25">
      <c r="B89" s="2" t="s">
        <v>257</v>
      </c>
      <c r="U89" s="2">
        <f>SUM(R73:U73)</f>
        <v>18839</v>
      </c>
      <c r="V89" s="2">
        <f t="shared" ref="V89" si="232">SUM(S73:V73)</f>
        <v>28090</v>
      </c>
      <c r="W89" s="2">
        <f t="shared" ref="W89" si="233">SUM(T73:W73)</f>
        <v>40524</v>
      </c>
      <c r="X89" s="2">
        <f t="shared" ref="X89" si="234">SUM(U73:X73)</f>
        <v>48664</v>
      </c>
      <c r="Y89" s="2">
        <f t="shared" ref="Y89:AA89" si="235">SUM(V73:Y73)</f>
        <v>58959</v>
      </c>
      <c r="Z89" s="2">
        <f t="shared" si="235"/>
        <v>64088</v>
      </c>
      <c r="AA89" s="2">
        <f t="shared" si="235"/>
        <v>76157</v>
      </c>
      <c r="AB89" s="2">
        <f>SUM(Y73:AB73)</f>
        <v>77034</v>
      </c>
      <c r="AC89" s="2">
        <f>SUM(Z73:AC73)</f>
        <v>83158</v>
      </c>
      <c r="AD89" s="2">
        <f>SUM(AA73:AD73)</f>
        <v>102720</v>
      </c>
    </row>
    <row r="90" spans="2:78" x14ac:dyDescent="0.25">
      <c r="X90" s="10"/>
      <c r="Y90" s="10">
        <f t="shared" ref="Y90" si="236">+Y89/U89-1</f>
        <v>2.1296247146876159</v>
      </c>
      <c r="Z90" s="10">
        <f t="shared" ref="Z90:AA90" si="237">+Z89/V89-1</f>
        <v>1.2815236739053044</v>
      </c>
      <c r="AA90" s="10">
        <f t="shared" si="237"/>
        <v>0.87930609021814243</v>
      </c>
      <c r="AB90" s="10">
        <f>+AB89/X89-1</f>
        <v>0.58297714943284573</v>
      </c>
      <c r="AC90" s="10">
        <f>+AC89/Y89-1</f>
        <v>0.41043776183449521</v>
      </c>
      <c r="AD90" s="10">
        <f>+AD89/Z89-1</f>
        <v>0.60279615528648112</v>
      </c>
    </row>
    <row r="93" spans="2:78" x14ac:dyDescent="0.25">
      <c r="B93" t="s">
        <v>70</v>
      </c>
      <c r="F93" s="5"/>
      <c r="G93" s="5">
        <f t="shared" ref="G93:N93" si="238">(G46/G24)*90</f>
        <v>55.72402597402597</v>
      </c>
      <c r="H93" s="5">
        <f t="shared" si="238"/>
        <v>48.51526125193999</v>
      </c>
      <c r="I93" s="5">
        <f t="shared" si="238"/>
        <v>48.484976724502751</v>
      </c>
      <c r="J93" s="5">
        <f t="shared" si="238"/>
        <v>43.695782530481715</v>
      </c>
      <c r="K93" s="5">
        <f t="shared" si="238"/>
        <v>48.076311605723369</v>
      </c>
      <c r="L93" s="5">
        <f t="shared" si="238"/>
        <v>49.598893499308438</v>
      </c>
      <c r="M93" s="5">
        <f t="shared" si="238"/>
        <v>50.099957764324934</v>
      </c>
      <c r="N93" s="5">
        <f t="shared" si="238"/>
        <v>54.755985869423007</v>
      </c>
      <c r="O93" s="5">
        <f t="shared" ref="O93:AD93" si="239">(O46/O24)*90</f>
        <v>59.051640926640928</v>
      </c>
      <c r="P93" s="5">
        <f t="shared" si="239"/>
        <v>71.379773269689736</v>
      </c>
      <c r="Q93" s="5">
        <f t="shared" si="239"/>
        <v>74.476479514415786</v>
      </c>
      <c r="R93" s="5">
        <f t="shared" si="239"/>
        <v>56.921170054536439</v>
      </c>
      <c r="S93" s="5">
        <f t="shared" si="239"/>
        <v>51.056729699666299</v>
      </c>
      <c r="T93" s="5">
        <f t="shared" si="239"/>
        <v>47.082253646257499</v>
      </c>
      <c r="U93" s="5">
        <f t="shared" si="239"/>
        <v>41.269867549668874</v>
      </c>
      <c r="V93" s="5">
        <f t="shared" si="239"/>
        <v>40.714382662986928</v>
      </c>
      <c r="W93" s="5">
        <f t="shared" si="239"/>
        <v>42.729611426816156</v>
      </c>
      <c r="X93" s="5">
        <f t="shared" si="239"/>
        <v>42.339547270306255</v>
      </c>
      <c r="Y93" s="5">
        <f t="shared" si="239"/>
        <v>45.389943560800411</v>
      </c>
      <c r="Z93" s="5">
        <f t="shared" si="239"/>
        <v>52.778978413973704</v>
      </c>
      <c r="AA93" s="5">
        <f t="shared" si="239"/>
        <v>45.206300213335751</v>
      </c>
      <c r="AB93" s="5">
        <f t="shared" si="239"/>
        <v>53.542134651177712</v>
      </c>
      <c r="AC93" s="5">
        <f t="shared" si="239"/>
        <v>52.71708241237765</v>
      </c>
      <c r="AD93" s="5">
        <f t="shared" si="239"/>
        <v>50.836123348017622</v>
      </c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</row>
    <row r="95" spans="2:78" x14ac:dyDescent="0.25">
      <c r="B95" t="s">
        <v>218</v>
      </c>
      <c r="BP95" s="15">
        <v>2.99</v>
      </c>
      <c r="BQ95" s="15">
        <v>4.43</v>
      </c>
      <c r="BR95" s="15">
        <v>5.65</v>
      </c>
      <c r="BS95" s="15">
        <v>6.46</v>
      </c>
      <c r="BT95" s="15">
        <v>7.63</v>
      </c>
      <c r="BU95" s="15">
        <v>7.75</v>
      </c>
      <c r="BV95" s="15">
        <v>7.53</v>
      </c>
      <c r="BW95" s="15">
        <v>8.26</v>
      </c>
      <c r="BX95" s="15">
        <v>9.3000000000000007</v>
      </c>
      <c r="BY95" s="15">
        <v>10.48</v>
      </c>
      <c r="BZ95" s="15">
        <v>11.8</v>
      </c>
    </row>
    <row r="96" spans="2:78" x14ac:dyDescent="0.25">
      <c r="B96" t="s">
        <v>145</v>
      </c>
      <c r="W96">
        <v>5.65</v>
      </c>
      <c r="X96">
        <v>6.03</v>
      </c>
      <c r="Y96">
        <v>6.58</v>
      </c>
      <c r="Z96">
        <v>7.19</v>
      </c>
      <c r="BP96">
        <v>25.36</v>
      </c>
      <c r="BQ96">
        <v>31.51</v>
      </c>
      <c r="BR96">
        <v>34.94</v>
      </c>
      <c r="BS96">
        <v>37.049999999999997</v>
      </c>
      <c r="BT96">
        <v>36.58</v>
      </c>
      <c r="BU96">
        <v>44.15</v>
      </c>
      <c r="BV96">
        <v>49.91</v>
      </c>
      <c r="BW96">
        <v>81.459999999999994</v>
      </c>
      <c r="BX96">
        <v>92.67</v>
      </c>
      <c r="BY96">
        <v>105.45</v>
      </c>
    </row>
    <row r="97" spans="2:75" x14ac:dyDescent="0.25">
      <c r="B97" t="s">
        <v>217</v>
      </c>
      <c r="BP97">
        <v>130.5</v>
      </c>
      <c r="BQ97">
        <v>201.73</v>
      </c>
      <c r="BR97">
        <v>249.74</v>
      </c>
      <c r="BS97">
        <v>284.48</v>
      </c>
      <c r="BT97">
        <v>299.11</v>
      </c>
      <c r="BU97">
        <v>379.34</v>
      </c>
      <c r="BV97">
        <v>436.34</v>
      </c>
      <c r="BW97">
        <v>590.87</v>
      </c>
    </row>
    <row r="98" spans="2:75" x14ac:dyDescent="0.25">
      <c r="B98" t="s">
        <v>146</v>
      </c>
      <c r="W98" s="14">
        <v>24.69</v>
      </c>
      <c r="X98" s="14">
        <v>26.8</v>
      </c>
      <c r="Y98" s="14">
        <v>29.36</v>
      </c>
      <c r="Z98" s="14">
        <v>31.95</v>
      </c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</row>
    <row r="100" spans="2:75" x14ac:dyDescent="0.25">
      <c r="B100" t="s">
        <v>76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5">
        <v>16</v>
      </c>
      <c r="U100" s="5">
        <v>25</v>
      </c>
      <c r="V100" s="5">
        <v>50</v>
      </c>
      <c r="W100" s="5">
        <v>50</v>
      </c>
      <c r="X100" s="5">
        <v>60</v>
      </c>
      <c r="Y100" s="5">
        <v>70</v>
      </c>
      <c r="Z100" s="5">
        <v>50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P100" s="2">
        <f>SUM(W100:Z100)</f>
        <v>230</v>
      </c>
    </row>
    <row r="101" spans="2:75" x14ac:dyDescent="0.25">
      <c r="B101" t="s">
        <v>77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5">
        <v>15</v>
      </c>
      <c r="U101" s="5">
        <v>25</v>
      </c>
      <c r="V101" s="5">
        <v>25</v>
      </c>
      <c r="W101" s="5">
        <v>25</v>
      </c>
      <c r="X101" s="5">
        <v>25</v>
      </c>
      <c r="Y101" s="5">
        <v>25</v>
      </c>
      <c r="Z101" s="5">
        <v>25</v>
      </c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P101" s="2">
        <f t="shared" ref="BP101:BP119" si="240">SUM(W101:Z101)</f>
        <v>100</v>
      </c>
    </row>
    <row r="102" spans="2:75" x14ac:dyDescent="0.25">
      <c r="B102" t="s">
        <v>87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5">
        <v>15</v>
      </c>
      <c r="U102" s="5">
        <v>25</v>
      </c>
      <c r="V102" s="5">
        <v>50</v>
      </c>
      <c r="W102" s="5">
        <v>50</v>
      </c>
      <c r="X102" s="5">
        <v>50</v>
      </c>
      <c r="Y102" s="5">
        <v>50</v>
      </c>
      <c r="Z102" s="5">
        <v>50</v>
      </c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P102" s="2">
        <f t="shared" si="240"/>
        <v>200</v>
      </c>
    </row>
    <row r="103" spans="2:75" x14ac:dyDescent="0.25">
      <c r="B103" t="s">
        <v>78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">
        <v>25</v>
      </c>
      <c r="U103" s="5">
        <v>25</v>
      </c>
      <c r="V103" s="5">
        <v>50</v>
      </c>
      <c r="W103" s="5">
        <v>50</v>
      </c>
      <c r="X103" s="5">
        <v>50</v>
      </c>
      <c r="Y103" s="5">
        <v>50</v>
      </c>
      <c r="Z103" s="5">
        <v>50</v>
      </c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P103" s="2">
        <f t="shared" si="240"/>
        <v>200</v>
      </c>
    </row>
    <row r="104" spans="2:75" x14ac:dyDescent="0.25">
      <c r="B104" t="s">
        <v>79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>
        <v>16</v>
      </c>
      <c r="U104" s="5">
        <v>20</v>
      </c>
      <c r="V104" s="5">
        <v>25</v>
      </c>
      <c r="W104" s="5">
        <v>25</v>
      </c>
      <c r="X104" s="5">
        <v>25</v>
      </c>
      <c r="Y104" s="5">
        <v>25</v>
      </c>
      <c r="Z104" s="5">
        <v>25</v>
      </c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P104" s="2">
        <f t="shared" si="240"/>
        <v>100</v>
      </c>
    </row>
    <row r="105" spans="2:75" x14ac:dyDescent="0.25">
      <c r="B105" t="s">
        <v>88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5">
        <v>25</v>
      </c>
      <c r="U105" s="5">
        <v>30</v>
      </c>
      <c r="V105" s="5">
        <v>75</v>
      </c>
      <c r="W105" s="5">
        <v>100</v>
      </c>
      <c r="X105" s="5">
        <v>100</v>
      </c>
      <c r="Y105" s="5">
        <v>100</v>
      </c>
      <c r="Z105" s="5">
        <v>100</v>
      </c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P105" s="2">
        <f t="shared" si="240"/>
        <v>400</v>
      </c>
    </row>
    <row r="106" spans="2:75" x14ac:dyDescent="0.25">
      <c r="B106" t="s">
        <v>80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5">
        <v>6</v>
      </c>
      <c r="U106" s="5">
        <v>5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P106" s="2">
        <f t="shared" si="240"/>
        <v>0</v>
      </c>
    </row>
    <row r="107" spans="2:75" x14ac:dyDescent="0.25">
      <c r="B107" t="s">
        <v>81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5">
        <v>15</v>
      </c>
      <c r="U107" s="5">
        <v>30</v>
      </c>
      <c r="V107" s="5">
        <v>40</v>
      </c>
      <c r="W107" s="5">
        <v>100</v>
      </c>
      <c r="X107" s="5">
        <v>100</v>
      </c>
      <c r="Y107" s="5">
        <v>100</v>
      </c>
      <c r="Z107" s="5">
        <v>100</v>
      </c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P107" s="2">
        <f t="shared" si="240"/>
        <v>400</v>
      </c>
    </row>
    <row r="108" spans="2:75" x14ac:dyDescent="0.25">
      <c r="B108" t="s">
        <v>89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5">
        <v>7</v>
      </c>
      <c r="U108" s="5">
        <v>25</v>
      </c>
      <c r="V108" s="5">
        <v>25</v>
      </c>
      <c r="W108" s="5">
        <v>25</v>
      </c>
      <c r="X108" s="5">
        <v>25</v>
      </c>
      <c r="Y108" s="5">
        <v>25</v>
      </c>
      <c r="Z108" s="5">
        <v>25</v>
      </c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P108" s="2">
        <f t="shared" si="240"/>
        <v>100</v>
      </c>
    </row>
    <row r="109" spans="2:75" ht="13" x14ac:dyDescent="0.3">
      <c r="B109" s="11" t="s">
        <v>82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5">
        <v>10</v>
      </c>
      <c r="U109" s="5">
        <v>20</v>
      </c>
      <c r="V109" s="5">
        <v>20</v>
      </c>
      <c r="W109" s="5">
        <v>25</v>
      </c>
      <c r="X109" s="5">
        <v>25</v>
      </c>
      <c r="Y109" s="5">
        <v>25</v>
      </c>
      <c r="Z109" s="5">
        <v>25</v>
      </c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P109" s="2">
        <f t="shared" si="240"/>
        <v>100</v>
      </c>
    </row>
    <row r="110" spans="2:75" x14ac:dyDescent="0.25">
      <c r="B110" t="s">
        <v>83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5">
        <v>10</v>
      </c>
      <c r="U110" s="5">
        <v>20</v>
      </c>
      <c r="V110" s="5">
        <v>20</v>
      </c>
      <c r="W110" s="5">
        <v>30</v>
      </c>
      <c r="X110" s="5">
        <v>50</v>
      </c>
      <c r="Y110" s="5">
        <v>60</v>
      </c>
      <c r="Z110" s="5">
        <v>70</v>
      </c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P110" s="2">
        <f t="shared" si="240"/>
        <v>210</v>
      </c>
    </row>
    <row r="111" spans="2:75" x14ac:dyDescent="0.25">
      <c r="B111" t="s">
        <v>162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5">
        <v>6</v>
      </c>
      <c r="U111" s="5">
        <v>5</v>
      </c>
      <c r="V111" s="5">
        <v>0</v>
      </c>
      <c r="W111" s="5">
        <v>0</v>
      </c>
      <c r="X111" s="5">
        <v>20</v>
      </c>
      <c r="Y111" s="5">
        <v>30</v>
      </c>
      <c r="Z111" s="5">
        <v>40</v>
      </c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P111" s="2">
        <f t="shared" si="240"/>
        <v>90</v>
      </c>
    </row>
    <row r="112" spans="2:75" x14ac:dyDescent="0.25">
      <c r="B112" t="s">
        <v>84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5">
        <v>5</v>
      </c>
      <c r="U112" s="5">
        <v>5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P112" s="2">
        <f t="shared" si="240"/>
        <v>0</v>
      </c>
    </row>
    <row r="113" spans="2:68" x14ac:dyDescent="0.25">
      <c r="B113" t="s">
        <v>85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5">
        <v>25</v>
      </c>
      <c r="U113" s="5">
        <v>30</v>
      </c>
      <c r="V113" s="5">
        <v>35</v>
      </c>
      <c r="W113" s="5">
        <v>15</v>
      </c>
      <c r="X113" s="5">
        <v>20</v>
      </c>
      <c r="Y113" s="5">
        <v>30</v>
      </c>
      <c r="Z113" s="5">
        <v>30</v>
      </c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P113" s="2">
        <f t="shared" si="240"/>
        <v>95</v>
      </c>
    </row>
    <row r="114" spans="2:68" x14ac:dyDescent="0.25">
      <c r="B114" t="s">
        <v>86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5">
        <v>25</v>
      </c>
      <c r="U114" s="5">
        <v>30</v>
      </c>
      <c r="V114" s="5">
        <v>20</v>
      </c>
      <c r="W114" s="5">
        <v>15</v>
      </c>
      <c r="X114" s="5">
        <v>20</v>
      </c>
      <c r="Y114" s="5">
        <v>25</v>
      </c>
      <c r="Z114" s="5">
        <v>25</v>
      </c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P114" s="2">
        <f t="shared" si="240"/>
        <v>85</v>
      </c>
    </row>
    <row r="115" spans="2:68" x14ac:dyDescent="0.25">
      <c r="B115" t="s">
        <v>90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5">
        <v>5</v>
      </c>
      <c r="U115" s="5">
        <v>5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P115" s="2">
        <f t="shared" si="240"/>
        <v>0</v>
      </c>
    </row>
    <row r="116" spans="2:68" x14ac:dyDescent="0.25">
      <c r="B116" t="s">
        <v>93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5">
        <v>15</v>
      </c>
      <c r="U116" s="5">
        <v>20</v>
      </c>
      <c r="V116" s="5">
        <v>20</v>
      </c>
      <c r="W116" s="5">
        <v>40</v>
      </c>
      <c r="X116" s="5">
        <v>50</v>
      </c>
      <c r="Y116" s="5">
        <v>50</v>
      </c>
      <c r="Z116" s="5">
        <v>50</v>
      </c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P116" s="2">
        <f t="shared" si="240"/>
        <v>190</v>
      </c>
    </row>
    <row r="117" spans="2:68" x14ac:dyDescent="0.25">
      <c r="B117" t="s">
        <v>94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5">
        <v>5</v>
      </c>
      <c r="U117" s="5">
        <v>5</v>
      </c>
      <c r="V117" s="5">
        <v>5</v>
      </c>
      <c r="W117" s="5">
        <v>10</v>
      </c>
      <c r="X117" s="5">
        <v>50</v>
      </c>
      <c r="Y117" s="5">
        <v>50</v>
      </c>
      <c r="Z117" s="5">
        <v>50</v>
      </c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P117" s="2">
        <f t="shared" si="240"/>
        <v>160</v>
      </c>
    </row>
    <row r="118" spans="2:68" x14ac:dyDescent="0.25">
      <c r="B118" t="s">
        <v>91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5">
        <v>6</v>
      </c>
      <c r="U118" s="5">
        <v>5</v>
      </c>
      <c r="V118" s="5">
        <v>0</v>
      </c>
      <c r="W118" s="5">
        <v>5</v>
      </c>
      <c r="X118" s="5">
        <v>10</v>
      </c>
      <c r="Y118" s="5">
        <v>10</v>
      </c>
      <c r="Z118" s="5">
        <v>10</v>
      </c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P118" s="2">
        <f t="shared" si="240"/>
        <v>35</v>
      </c>
    </row>
    <row r="119" spans="2:68" x14ac:dyDescent="0.25">
      <c r="B119" t="s">
        <v>92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5">
        <v>6</v>
      </c>
      <c r="U119" s="5">
        <v>5</v>
      </c>
      <c r="V119" s="5">
        <v>0</v>
      </c>
      <c r="W119" s="5">
        <v>5</v>
      </c>
      <c r="X119" s="5">
        <v>10</v>
      </c>
      <c r="Y119" s="5">
        <v>10</v>
      </c>
      <c r="Z119" s="5">
        <v>10</v>
      </c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P119" s="2">
        <f t="shared" si="240"/>
        <v>35</v>
      </c>
    </row>
    <row r="120" spans="2:68" s="11" customFormat="1" ht="13" x14ac:dyDescent="0.3">
      <c r="B120" s="11" t="s">
        <v>95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9">
        <f>SUM(T100:T119)</f>
        <v>258</v>
      </c>
      <c r="U120" s="9">
        <f>SUM(U100:U119)</f>
        <v>360</v>
      </c>
      <c r="V120" s="9">
        <f t="shared" ref="V120:Z120" si="241">SUM(V100:V119)</f>
        <v>460</v>
      </c>
      <c r="W120" s="9">
        <f t="shared" si="241"/>
        <v>570</v>
      </c>
      <c r="X120" s="9">
        <f t="shared" si="241"/>
        <v>690</v>
      </c>
      <c r="Y120" s="9">
        <f t="shared" si="241"/>
        <v>735</v>
      </c>
      <c r="Z120" s="9">
        <f t="shared" si="241"/>
        <v>735</v>
      </c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P120" s="8">
        <f>SUM(BP100:BP119)</f>
        <v>2730</v>
      </c>
    </row>
    <row r="121" spans="2:68" s="11" customFormat="1" ht="13" x14ac:dyDescent="0.3">
      <c r="B121" s="11" t="s">
        <v>158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9"/>
      <c r="U121" s="9"/>
      <c r="V121" s="9">
        <f>+V101+V102+V104+V105+V107+V108+V109+V110</f>
        <v>280</v>
      </c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</row>
    <row r="122" spans="2:68" x14ac:dyDescent="0.25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</row>
    <row r="123" spans="2:68" s="11" customFormat="1" ht="13" x14ac:dyDescent="0.3">
      <c r="B123" s="11" t="s">
        <v>74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9">
        <f>+T22/T124</f>
        <v>258.07499999999999</v>
      </c>
      <c r="U123" s="9">
        <f>+U22/U124</f>
        <v>362.85</v>
      </c>
      <c r="V123" s="9">
        <f>+V22/V124</f>
        <v>460.1</v>
      </c>
      <c r="W123" s="9">
        <f>+W22/W124</f>
        <v>564.07500000000005</v>
      </c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</row>
    <row r="124" spans="2:68" x14ac:dyDescent="0.25">
      <c r="B124" t="s">
        <v>75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5">
        <v>40</v>
      </c>
      <c r="U124" s="5">
        <v>40</v>
      </c>
      <c r="V124" s="5">
        <v>40</v>
      </c>
      <c r="W124" s="5">
        <v>40</v>
      </c>
      <c r="X124" s="5">
        <f>+W124</f>
        <v>40</v>
      </c>
      <c r="Y124" s="5">
        <f>+X124</f>
        <v>40</v>
      </c>
      <c r="Z124" s="5">
        <v>50</v>
      </c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</row>
    <row r="127" spans="2:68" x14ac:dyDescent="0.25">
      <c r="B127" t="s">
        <v>250</v>
      </c>
      <c r="U127" s="2">
        <f t="shared" ref="U127:AA127" si="242">+U128-U129</f>
        <v>880.00714285714275</v>
      </c>
      <c r="V127" s="2">
        <f t="shared" si="242"/>
        <v>-647.79285714285652</v>
      </c>
      <c r="W127" s="2">
        <f t="shared" si="242"/>
        <v>-2786.8428571428558</v>
      </c>
      <c r="X127" s="2">
        <f t="shared" si="242"/>
        <v>-2171.2428571428572</v>
      </c>
      <c r="Y127" s="2">
        <f t="shared" si="242"/>
        <v>-1903.9499999999971</v>
      </c>
      <c r="Z127" s="2">
        <f t="shared" si="242"/>
        <v>-361.90000000000146</v>
      </c>
      <c r="AA127" s="2">
        <f t="shared" si="242"/>
        <v>-1136.9499999999971</v>
      </c>
    </row>
    <row r="128" spans="2:68" x14ac:dyDescent="0.25">
      <c r="B128" t="s">
        <v>249</v>
      </c>
      <c r="U128" s="2">
        <f t="shared" ref="U128:Z128" si="243">+U131*0.45</f>
        <v>19000.007142857143</v>
      </c>
      <c r="V128" s="2">
        <f t="shared" si="243"/>
        <v>21455.207142857143</v>
      </c>
      <c r="W128" s="2">
        <f t="shared" si="243"/>
        <v>23257.157142857144</v>
      </c>
      <c r="X128" s="2">
        <f t="shared" si="243"/>
        <v>27868.757142857143</v>
      </c>
      <c r="Y128" s="2">
        <f t="shared" si="243"/>
        <v>33178.050000000003</v>
      </c>
      <c r="Z128" s="2">
        <f t="shared" si="243"/>
        <v>38969.1</v>
      </c>
      <c r="AA128" s="2">
        <f>+AA131*0.45</f>
        <v>42925.05</v>
      </c>
    </row>
    <row r="129" spans="2:69" x14ac:dyDescent="0.25">
      <c r="B129" t="s">
        <v>1</v>
      </c>
      <c r="S129" s="2">
        <f t="shared" ref="S129:AB129" si="244">S24</f>
        <v>7192</v>
      </c>
      <c r="T129" s="2">
        <f t="shared" si="244"/>
        <v>13507</v>
      </c>
      <c r="U129" s="2">
        <f t="shared" si="244"/>
        <v>18120</v>
      </c>
      <c r="V129" s="2">
        <f t="shared" si="244"/>
        <v>22103</v>
      </c>
      <c r="W129" s="2">
        <f t="shared" si="244"/>
        <v>26044</v>
      </c>
      <c r="X129" s="2">
        <f t="shared" si="244"/>
        <v>30040</v>
      </c>
      <c r="Y129" s="2">
        <f t="shared" si="244"/>
        <v>35082</v>
      </c>
      <c r="Z129" s="2">
        <f t="shared" si="244"/>
        <v>39331</v>
      </c>
      <c r="AA129" s="2">
        <f t="shared" si="244"/>
        <v>44062</v>
      </c>
      <c r="AB129" s="2">
        <f t="shared" si="244"/>
        <v>46743</v>
      </c>
      <c r="AC129" s="2">
        <f>+AC131*0.43</f>
        <v>55109.659999999996</v>
      </c>
      <c r="AD129" s="2">
        <f>+AD131*0.43</f>
        <v>67700.827980000002</v>
      </c>
      <c r="AE129" s="2"/>
      <c r="AF129" s="2"/>
      <c r="AG129" s="2"/>
      <c r="AH129" s="2"/>
    </row>
    <row r="130" spans="2:69" x14ac:dyDescent="0.25">
      <c r="B130" t="s">
        <v>22</v>
      </c>
      <c r="S130" s="5">
        <f t="shared" ref="S130:AB130" si="245">S22</f>
        <v>4284</v>
      </c>
      <c r="T130" s="5">
        <f t="shared" si="245"/>
        <v>10323</v>
      </c>
      <c r="U130" s="5">
        <f t="shared" si="245"/>
        <v>14514</v>
      </c>
      <c r="V130" s="5">
        <f t="shared" si="245"/>
        <v>18404</v>
      </c>
      <c r="W130" s="5">
        <f t="shared" si="245"/>
        <v>22563</v>
      </c>
      <c r="X130" s="5">
        <f t="shared" si="245"/>
        <v>26272</v>
      </c>
      <c r="Y130" s="5">
        <f t="shared" si="245"/>
        <v>30771</v>
      </c>
      <c r="Z130" s="5">
        <f t="shared" si="245"/>
        <v>35580</v>
      </c>
      <c r="AA130" s="5">
        <f t="shared" si="245"/>
        <v>39112</v>
      </c>
      <c r="AB130" s="5">
        <f t="shared" si="245"/>
        <v>41096</v>
      </c>
      <c r="AC130" s="5">
        <f>+AC131*0.35</f>
        <v>44856.7</v>
      </c>
      <c r="AD130" s="5">
        <f>+AD131*0.35</f>
        <v>55105.325099999995</v>
      </c>
      <c r="AE130" s="5"/>
      <c r="AF130" s="5"/>
      <c r="AG130" s="5"/>
      <c r="AH130" s="5"/>
    </row>
    <row r="131" spans="2:69" s="11" customFormat="1" ht="13" x14ac:dyDescent="0.3">
      <c r="B131" s="11" t="s">
        <v>199</v>
      </c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8">
        <f>SUM(S132:S140)</f>
        <v>36225.571428571428</v>
      </c>
      <c r="T131" s="8">
        <f t="shared" ref="T131:AE131" si="246">SUM(T132:T140)</f>
        <v>40929.238095238092</v>
      </c>
      <c r="U131" s="8">
        <f t="shared" si="246"/>
        <v>42222.238095238092</v>
      </c>
      <c r="V131" s="8">
        <f t="shared" si="246"/>
        <v>47678.238095238092</v>
      </c>
      <c r="W131" s="8">
        <f t="shared" si="246"/>
        <v>51682.571428571428</v>
      </c>
      <c r="X131" s="8">
        <f t="shared" si="246"/>
        <v>61930.571428571428</v>
      </c>
      <c r="Y131" s="8">
        <f t="shared" si="246"/>
        <v>73729</v>
      </c>
      <c r="Z131" s="8">
        <f t="shared" si="246"/>
        <v>86598</v>
      </c>
      <c r="AA131" s="8">
        <f t="shared" si="246"/>
        <v>95389</v>
      </c>
      <c r="AB131" s="8">
        <f t="shared" si="246"/>
        <v>115701</v>
      </c>
      <c r="AC131" s="8">
        <f t="shared" si="246"/>
        <v>128162</v>
      </c>
      <c r="AD131" s="8">
        <f>SUM(AD132:AD140)</f>
        <v>157443.78599999999</v>
      </c>
      <c r="AE131" s="8">
        <f t="shared" si="246"/>
        <v>0</v>
      </c>
      <c r="AF131" s="8"/>
      <c r="AG131" s="8"/>
      <c r="AH131" s="8"/>
    </row>
    <row r="132" spans="2:69" s="2" customFormat="1" x14ac:dyDescent="0.25">
      <c r="B132" s="2" t="s">
        <v>195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>
        <v>0</v>
      </c>
      <c r="T132" s="2">
        <v>0</v>
      </c>
      <c r="U132" s="2">
        <v>0</v>
      </c>
      <c r="V132" s="2">
        <v>125</v>
      </c>
      <c r="W132" s="2">
        <v>125</v>
      </c>
      <c r="X132" s="2">
        <v>1500</v>
      </c>
      <c r="Y132" s="2">
        <f t="shared" ref="Y132:AD132" si="247">+X132+500</f>
        <v>2000</v>
      </c>
      <c r="Z132" s="2">
        <f t="shared" si="247"/>
        <v>2500</v>
      </c>
      <c r="AA132" s="2">
        <f t="shared" si="247"/>
        <v>3000</v>
      </c>
      <c r="AB132" s="2">
        <f t="shared" si="247"/>
        <v>3500</v>
      </c>
      <c r="AC132" s="2">
        <f t="shared" si="247"/>
        <v>4000</v>
      </c>
      <c r="AD132" s="2">
        <f t="shared" si="247"/>
        <v>4500</v>
      </c>
    </row>
    <row r="133" spans="2:69" s="2" customFormat="1" x14ac:dyDescent="0.25">
      <c r="B133" s="2" t="s">
        <v>91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>
        <v>450</v>
      </c>
      <c r="T133" s="2">
        <v>4000</v>
      </c>
      <c r="U133" s="2">
        <v>2000</v>
      </c>
      <c r="V133" s="2">
        <v>750</v>
      </c>
      <c r="W133" s="2">
        <v>1000</v>
      </c>
      <c r="X133" s="2">
        <v>1000</v>
      </c>
      <c r="Y133" s="2">
        <v>4000</v>
      </c>
      <c r="Z133" s="2">
        <v>1000</v>
      </c>
      <c r="AA133" s="2">
        <v>3000</v>
      </c>
      <c r="AB133" s="2">
        <v>3000</v>
      </c>
      <c r="AC133" s="2">
        <v>4000</v>
      </c>
      <c r="AD133" s="2">
        <v>5000</v>
      </c>
    </row>
    <row r="134" spans="2:69" s="2" customFormat="1" x14ac:dyDescent="0.25">
      <c r="B134" s="2" t="s">
        <v>196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2">
        <v>6607</v>
      </c>
      <c r="T134" s="2">
        <v>8943</v>
      </c>
      <c r="U134" s="2">
        <v>9917</v>
      </c>
      <c r="V134" s="2">
        <v>9735</v>
      </c>
      <c r="W134" s="2">
        <v>10952</v>
      </c>
      <c r="X134" s="2">
        <v>13873</v>
      </c>
      <c r="Y134" s="2">
        <v>14923</v>
      </c>
      <c r="Z134" s="2">
        <v>15804</v>
      </c>
      <c r="AA134" s="2">
        <v>16745</v>
      </c>
      <c r="AB134" s="2">
        <v>17079</v>
      </c>
      <c r="AC134" s="2">
        <v>19394</v>
      </c>
      <c r="AD134" s="2">
        <v>29876</v>
      </c>
      <c r="BO134" s="2">
        <f>SUM(S134:V134)</f>
        <v>35202</v>
      </c>
      <c r="BP134" s="2">
        <f>SUM(W134:Z134)</f>
        <v>55552</v>
      </c>
      <c r="BQ134" s="2">
        <f t="shared" ref="BQ134" si="248">SUM(AA134:AD134)</f>
        <v>83094</v>
      </c>
    </row>
    <row r="135" spans="2:69" x14ac:dyDescent="0.25">
      <c r="B135" t="s">
        <v>197</v>
      </c>
      <c r="S135" s="5">
        <v>6289</v>
      </c>
      <c r="T135" s="5">
        <f>13177-S135</f>
        <v>6888</v>
      </c>
      <c r="U135" s="5">
        <v>8055</v>
      </c>
      <c r="V135" s="5">
        <v>11019</v>
      </c>
      <c r="W135" s="5">
        <v>12012</v>
      </c>
      <c r="X135" s="5">
        <f>25198-W135</f>
        <v>13186</v>
      </c>
      <c r="Y135" s="5">
        <f>38259-X135-W135</f>
        <v>13061</v>
      </c>
      <c r="Z135" s="5">
        <f>52535-Y135-X135-W135</f>
        <v>14276</v>
      </c>
      <c r="AA135" s="2">
        <v>17197</v>
      </c>
      <c r="AB135" s="2">
        <v>22446</v>
      </c>
      <c r="AC135" s="2">
        <v>23953</v>
      </c>
      <c r="AD135" s="2">
        <v>27851</v>
      </c>
      <c r="AE135" s="2"/>
      <c r="AF135" s="2"/>
      <c r="AG135" s="2"/>
      <c r="AH135" s="2"/>
      <c r="BO135" s="2">
        <f t="shared" ref="BO135:BO140" si="249">SUM(S135:V135)</f>
        <v>32251</v>
      </c>
      <c r="BP135" s="2">
        <f t="shared" ref="BP135:BP140" si="250">SUM(W135:Z135)</f>
        <v>52535</v>
      </c>
      <c r="BQ135" s="2">
        <f>SUM(AA135:AD135)</f>
        <v>91447</v>
      </c>
    </row>
    <row r="136" spans="2:69" x14ac:dyDescent="0.25">
      <c r="B136" t="s">
        <v>198</v>
      </c>
      <c r="S136" s="2">
        <v>14207</v>
      </c>
      <c r="T136" s="2">
        <v>11455</v>
      </c>
      <c r="U136" s="2">
        <v>12479</v>
      </c>
      <c r="V136" s="2">
        <v>14588</v>
      </c>
      <c r="W136" s="2">
        <v>14925</v>
      </c>
      <c r="X136" s="2">
        <v>17620</v>
      </c>
      <c r="Y136" s="2">
        <v>22620</v>
      </c>
      <c r="Z136" s="2">
        <v>27834</v>
      </c>
      <c r="AA136" s="2">
        <v>25019</v>
      </c>
      <c r="AB136" s="2">
        <v>32183</v>
      </c>
      <c r="AC136" s="2">
        <v>35095</v>
      </c>
      <c r="AD136" s="2">
        <v>39522</v>
      </c>
      <c r="AE136" s="2"/>
      <c r="AF136" s="2"/>
      <c r="AG136" s="2"/>
      <c r="AH136" s="2"/>
      <c r="BO136" s="2">
        <f t="shared" si="249"/>
        <v>52729</v>
      </c>
      <c r="BP136" s="2">
        <f t="shared" si="250"/>
        <v>82999</v>
      </c>
      <c r="BQ136" s="2">
        <f t="shared" ref="BQ136:BQ140" si="251">SUM(AA136:AD136)</f>
        <v>131819</v>
      </c>
    </row>
    <row r="137" spans="2:69" x14ac:dyDescent="0.25">
      <c r="B137" t="s">
        <v>78</v>
      </c>
      <c r="R137" s="5">
        <v>1428.5714285714287</v>
      </c>
      <c r="S137" s="5">
        <v>1428.5714285714287</v>
      </c>
      <c r="T137" s="5">
        <v>1428.5714285714287</v>
      </c>
      <c r="U137" s="5">
        <v>1428.5714285714287</v>
      </c>
      <c r="V137" s="5">
        <v>1428.5714285714287</v>
      </c>
      <c r="W137" s="5">
        <f>+V137+300</f>
        <v>1728.5714285714287</v>
      </c>
      <c r="X137" s="5">
        <f>+W137+300</f>
        <v>2028.5714285714287</v>
      </c>
      <c r="Y137" s="2">
        <v>2650</v>
      </c>
      <c r="Z137" s="2">
        <v>2650</v>
      </c>
      <c r="AA137" s="2">
        <v>7000</v>
      </c>
      <c r="AB137" s="2">
        <v>10000</v>
      </c>
      <c r="AC137" s="2">
        <f>+AB137+2000</f>
        <v>12000</v>
      </c>
      <c r="AD137" s="2">
        <f>+AC137+2000</f>
        <v>14000</v>
      </c>
      <c r="AE137" s="2"/>
      <c r="AF137" s="2"/>
      <c r="AG137" s="2"/>
      <c r="AH137" s="2"/>
      <c r="BO137" s="2">
        <f t="shared" si="249"/>
        <v>5714.2857142857147</v>
      </c>
      <c r="BP137" s="2">
        <f t="shared" si="250"/>
        <v>9057.1428571428569</v>
      </c>
      <c r="BQ137" s="2">
        <f t="shared" si="251"/>
        <v>43000</v>
      </c>
    </row>
    <row r="138" spans="2:69" x14ac:dyDescent="0.25">
      <c r="B138" t="s">
        <v>200</v>
      </c>
      <c r="R138" s="5">
        <v>100</v>
      </c>
      <c r="S138" s="5">
        <f>200+221</f>
        <v>421</v>
      </c>
      <c r="T138" s="2">
        <v>766.66666666666663</v>
      </c>
      <c r="U138" s="2">
        <v>766.66666666666663</v>
      </c>
      <c r="V138" s="2">
        <v>766.66666666666663</v>
      </c>
      <c r="W138" s="2">
        <v>1742</v>
      </c>
      <c r="X138" s="2">
        <v>2247</v>
      </c>
      <c r="Y138" s="2">
        <f>+X138</f>
        <v>2247</v>
      </c>
      <c r="Z138" s="2">
        <f>+Y138</f>
        <v>2247</v>
      </c>
      <c r="AA138" s="2">
        <v>1407</v>
      </c>
      <c r="AB138" s="2">
        <v>2453</v>
      </c>
      <c r="AC138" s="2">
        <v>2389</v>
      </c>
      <c r="AD138" s="2">
        <v>3278.7860000000001</v>
      </c>
      <c r="AE138" s="2"/>
      <c r="AF138" s="2"/>
      <c r="AG138" s="2"/>
      <c r="AH138" s="2"/>
      <c r="BO138" s="2">
        <f t="shared" si="249"/>
        <v>2720.9999999999995</v>
      </c>
      <c r="BP138" s="2">
        <f t="shared" si="250"/>
        <v>8483</v>
      </c>
      <c r="BQ138" s="2">
        <f t="shared" si="251"/>
        <v>9527.7860000000001</v>
      </c>
    </row>
    <row r="139" spans="2:69" x14ac:dyDescent="0.25">
      <c r="B139" t="s">
        <v>201</v>
      </c>
      <c r="S139" s="5">
        <v>6823</v>
      </c>
      <c r="T139" s="5">
        <v>6134</v>
      </c>
      <c r="U139" s="5">
        <v>6496</v>
      </c>
      <c r="V139" s="2">
        <v>7592</v>
      </c>
      <c r="W139" s="2">
        <v>6400</v>
      </c>
      <c r="X139" s="2">
        <v>8173</v>
      </c>
      <c r="Y139" s="2">
        <v>8258</v>
      </c>
      <c r="Z139" s="2">
        <v>14425</v>
      </c>
      <c r="AA139" s="2">
        <v>12941</v>
      </c>
      <c r="AB139" s="2">
        <v>16538</v>
      </c>
      <c r="AC139" s="2">
        <v>18829</v>
      </c>
      <c r="AD139" s="2">
        <v>21383</v>
      </c>
      <c r="AE139" s="2"/>
      <c r="AF139" s="2"/>
      <c r="AG139" s="2"/>
      <c r="AH139" s="2"/>
      <c r="BO139" s="2">
        <f t="shared" si="249"/>
        <v>27045</v>
      </c>
      <c r="BP139" s="2">
        <f t="shared" si="250"/>
        <v>37256</v>
      </c>
      <c r="BQ139" s="2">
        <f t="shared" si="251"/>
        <v>69691</v>
      </c>
    </row>
    <row r="140" spans="2:69" x14ac:dyDescent="0.25">
      <c r="B140" t="s">
        <v>202</v>
      </c>
      <c r="T140" s="2">
        <v>1314</v>
      </c>
      <c r="U140" s="2">
        <v>1080</v>
      </c>
      <c r="V140" s="2">
        <v>1674</v>
      </c>
      <c r="W140" s="2">
        <v>2798</v>
      </c>
      <c r="X140" s="2">
        <v>2303</v>
      </c>
      <c r="Y140" s="2">
        <v>3970</v>
      </c>
      <c r="Z140" s="2">
        <v>5862</v>
      </c>
      <c r="AA140" s="2">
        <v>9080</v>
      </c>
      <c r="AB140" s="2">
        <v>8502</v>
      </c>
      <c r="AC140" s="2">
        <v>8502</v>
      </c>
      <c r="AD140" s="2">
        <f>20535-AC140</f>
        <v>12033</v>
      </c>
      <c r="AE140" s="2"/>
      <c r="AF140" s="2"/>
      <c r="AG140" s="2"/>
      <c r="AH140" s="2"/>
      <c r="BO140" s="2">
        <f t="shared" si="249"/>
        <v>4068</v>
      </c>
      <c r="BP140" s="2">
        <f t="shared" si="250"/>
        <v>14933</v>
      </c>
      <c r="BQ140" s="2">
        <f t="shared" si="251"/>
        <v>38117</v>
      </c>
    </row>
    <row r="142" spans="2:69" x14ac:dyDescent="0.25">
      <c r="B142" t="s">
        <v>271</v>
      </c>
      <c r="V142" s="10"/>
      <c r="W142" s="10">
        <f t="shared" ref="W142" si="252">+W131/S131-1</f>
        <v>0.42668754116074292</v>
      </c>
      <c r="X142" s="10">
        <f t="shared" ref="X142" si="253">+X131/T131-1</f>
        <v>0.51311322445009622</v>
      </c>
      <c r="Y142" s="10">
        <f t="shared" ref="Y142:AB142" si="254">+Y131/U131-1</f>
        <v>0.74621250142387185</v>
      </c>
      <c r="Z142" s="10">
        <f t="shared" si="254"/>
        <v>0.81630033867902219</v>
      </c>
      <c r="AA142" s="10">
        <f t="shared" si="254"/>
        <v>0.84567054934241437</v>
      </c>
      <c r="AB142" s="10">
        <f t="shared" si="254"/>
        <v>0.86823724262653568</v>
      </c>
      <c r="AC142" s="10">
        <f>+AC131/Y131-1</f>
        <v>0.73828479973958694</v>
      </c>
      <c r="AD142" s="10">
        <f>+AD131/Z131-1</f>
        <v>0.81809956350031166</v>
      </c>
      <c r="AE142" s="10"/>
      <c r="AF142" s="10"/>
      <c r="AG142" s="10"/>
      <c r="AH142" s="10"/>
    </row>
    <row r="144" spans="2:69" x14ac:dyDescent="0.25">
      <c r="B144" t="s">
        <v>203</v>
      </c>
      <c r="S144" s="7">
        <f>+S130/S131</f>
        <v>0.11825900409734245</v>
      </c>
      <c r="T144" s="7">
        <f t="shared" ref="T144:Z144" si="255">+T130/T131</f>
        <v>0.25221578706106013</v>
      </c>
      <c r="U144" s="7">
        <f>+U130/U131</f>
        <v>0.34375250234868338</v>
      </c>
      <c r="V144" s="7">
        <f t="shared" si="255"/>
        <v>0.38600419678339826</v>
      </c>
      <c r="W144" s="7">
        <f t="shared" si="255"/>
        <v>0.43656883503142813</v>
      </c>
      <c r="X144" s="7">
        <f t="shared" si="255"/>
        <v>0.42421698030513433</v>
      </c>
      <c r="Y144" s="7">
        <f t="shared" si="255"/>
        <v>0.41735273772870918</v>
      </c>
      <c r="Z144" s="7">
        <f t="shared" si="255"/>
        <v>0.41086399224000553</v>
      </c>
      <c r="AA144" s="7">
        <f>+AA130/AA131</f>
        <v>0.41002631330656575</v>
      </c>
      <c r="AB144" s="7">
        <f t="shared" ref="AB144:AD144" si="256">+AB130/AB131</f>
        <v>0.35519139851859532</v>
      </c>
      <c r="AC144" s="7">
        <f t="shared" si="256"/>
        <v>0.35</v>
      </c>
      <c r="AD144" s="7">
        <f t="shared" si="256"/>
        <v>0.35</v>
      </c>
      <c r="AE144" s="7"/>
      <c r="AF144" s="7"/>
      <c r="AG144" s="7"/>
      <c r="AH144" s="7"/>
    </row>
    <row r="145" spans="2:68" x14ac:dyDescent="0.25">
      <c r="B145" t="s">
        <v>204</v>
      </c>
      <c r="S145" s="7">
        <f>+S129/S131</f>
        <v>0.19853379025865708</v>
      </c>
      <c r="T145" s="7">
        <f>+T129/T131</f>
        <v>0.33000858624757717</v>
      </c>
      <c r="U145" s="7">
        <f t="shared" ref="U145:Z145" si="257">+U129/U131</f>
        <v>0.42915773339934837</v>
      </c>
      <c r="V145" s="7">
        <f t="shared" si="257"/>
        <v>0.46358676165526252</v>
      </c>
      <c r="W145" s="7">
        <f t="shared" si="257"/>
        <v>0.50392229488802531</v>
      </c>
      <c r="X145" s="7">
        <f t="shared" si="257"/>
        <v>0.48505930604317277</v>
      </c>
      <c r="Y145" s="7">
        <f t="shared" si="257"/>
        <v>0.47582362435405334</v>
      </c>
      <c r="Z145" s="7">
        <f t="shared" si="257"/>
        <v>0.45417908034827592</v>
      </c>
      <c r="AA145" s="7">
        <f>+AA129/AA131</f>
        <v>0.46191908920315761</v>
      </c>
      <c r="AB145" s="7">
        <f>+AB129/AB131</f>
        <v>0.40399823683459951</v>
      </c>
      <c r="AC145" s="7">
        <f t="shared" ref="AC145" si="258">+AC129/AC131</f>
        <v>0.43</v>
      </c>
      <c r="AD145" s="7">
        <f>+AD129/AD131</f>
        <v>0.43000000000000005</v>
      </c>
      <c r="AE145" s="7"/>
      <c r="AF145" s="7"/>
      <c r="AG145" s="7"/>
      <c r="AH145" s="7"/>
    </row>
    <row r="146" spans="2:68" x14ac:dyDescent="0.25">
      <c r="AA146" s="10"/>
    </row>
    <row r="147" spans="2:68" x14ac:dyDescent="0.25">
      <c r="AA147" s="10"/>
    </row>
    <row r="148" spans="2:68" s="2" customFormat="1" x14ac:dyDescent="0.25">
      <c r="B148" s="2" t="s">
        <v>219</v>
      </c>
      <c r="C148" s="5">
        <v>165</v>
      </c>
      <c r="D148" s="5">
        <v>188</v>
      </c>
      <c r="E148" s="5">
        <v>236</v>
      </c>
      <c r="F148" s="5">
        <f>+BK148-E148-D148-C148</f>
        <v>297</v>
      </c>
      <c r="G148" s="5">
        <v>497</v>
      </c>
      <c r="H148" s="5">
        <v>944</v>
      </c>
      <c r="I148" s="5">
        <v>890</v>
      </c>
      <c r="J148" s="5">
        <f>3214-I148-H148-G148</f>
        <v>883</v>
      </c>
      <c r="K148" s="5">
        <v>768</v>
      </c>
      <c r="L148" s="5">
        <v>996</v>
      </c>
      <c r="M148" s="5">
        <v>1126</v>
      </c>
      <c r="N148" s="5">
        <f>4349-M148-L148-K148</f>
        <v>1459</v>
      </c>
      <c r="O148" s="5">
        <v>1932</v>
      </c>
      <c r="P148" s="5">
        <v>1988</v>
      </c>
      <c r="Q148" s="5">
        <v>2148</v>
      </c>
      <c r="R148" s="5">
        <f>8292-Q148-P148-O148</f>
        <v>2224</v>
      </c>
      <c r="S148" s="5">
        <v>2385</v>
      </c>
      <c r="T148" s="2">
        <v>6043</v>
      </c>
      <c r="U148" s="2">
        <v>6302</v>
      </c>
      <c r="V148" s="2">
        <f>26966-U148-T148-S148</f>
        <v>12236</v>
      </c>
      <c r="W148" s="2">
        <v>13496</v>
      </c>
      <c r="X148" s="2">
        <v>13022</v>
      </c>
      <c r="Y148" s="2">
        <v>14800</v>
      </c>
      <c r="Z148" s="2">
        <f>61257-Y148-X148-W148</f>
        <v>19939</v>
      </c>
      <c r="AA148" s="2">
        <v>20739</v>
      </c>
      <c r="BJ148" s="2">
        <v>1506</v>
      </c>
      <c r="BK148" s="2">
        <v>886</v>
      </c>
      <c r="BL148" s="2">
        <f>SUM(G148:J148)</f>
        <v>3214</v>
      </c>
      <c r="BM148" s="2">
        <f>SUM(K148:N148)</f>
        <v>4349</v>
      </c>
      <c r="BN148" s="2">
        <f t="shared" ref="BN148:BN152" si="259">SUM(O148:R148)</f>
        <v>8292</v>
      </c>
      <c r="BO148" s="2">
        <f t="shared" ref="BO148:BO152" si="260">SUM(S148:V148)</f>
        <v>26966</v>
      </c>
      <c r="BP148" s="2">
        <f t="shared" ref="BP148:BP152" si="261">SUM(W148:Z148)</f>
        <v>61257</v>
      </c>
    </row>
    <row r="149" spans="2:68" s="2" customFormat="1" x14ac:dyDescent="0.25">
      <c r="B149" s="2" t="s">
        <v>220</v>
      </c>
      <c r="C149" s="5">
        <v>698</v>
      </c>
      <c r="D149" s="5">
        <v>635</v>
      </c>
      <c r="E149" s="5">
        <v>838</v>
      </c>
      <c r="F149" s="5">
        <f>+BK149-E149-D149-C149</f>
        <v>854</v>
      </c>
      <c r="G149" s="5">
        <v>813</v>
      </c>
      <c r="H149" s="5">
        <v>954</v>
      </c>
      <c r="I149" s="5">
        <v>1296</v>
      </c>
      <c r="J149" s="5">
        <f>4531-I149-H149-G149</f>
        <v>1468</v>
      </c>
      <c r="K149" s="5">
        <v>1784</v>
      </c>
      <c r="L149" s="5">
        <v>1961</v>
      </c>
      <c r="M149" s="5">
        <v>2187</v>
      </c>
      <c r="N149" s="5">
        <f>8544-M149-L149-K149</f>
        <v>2612</v>
      </c>
      <c r="O149" s="5">
        <v>2777</v>
      </c>
      <c r="P149" s="5">
        <v>1204</v>
      </c>
      <c r="Q149" s="5">
        <v>1153</v>
      </c>
      <c r="R149" s="5">
        <f>6986-Q149-P149-O149</f>
        <v>1852</v>
      </c>
      <c r="S149" s="5">
        <v>1796</v>
      </c>
      <c r="T149" s="2">
        <v>2839</v>
      </c>
      <c r="U149" s="2">
        <v>4333</v>
      </c>
      <c r="V149" s="2">
        <f>13405-U149-T149-S149</f>
        <v>4437</v>
      </c>
      <c r="W149" s="2">
        <v>4373</v>
      </c>
      <c r="X149" s="2">
        <v>5740</v>
      </c>
      <c r="Y149" s="2">
        <v>5153</v>
      </c>
      <c r="Z149" s="2">
        <f>20573-Y149-X149-W149</f>
        <v>5307</v>
      </c>
      <c r="AA149" s="2">
        <v>7158</v>
      </c>
      <c r="BJ149" s="2">
        <v>3360</v>
      </c>
      <c r="BK149" s="2">
        <v>3025</v>
      </c>
      <c r="BL149" s="2">
        <f>SUM(G149:J149)</f>
        <v>4531</v>
      </c>
      <c r="BM149" s="2">
        <f>SUM(K149:N149)</f>
        <v>8544</v>
      </c>
      <c r="BN149" s="2">
        <f t="shared" si="259"/>
        <v>6986</v>
      </c>
      <c r="BO149" s="2">
        <f t="shared" si="260"/>
        <v>13405</v>
      </c>
      <c r="BP149" s="2">
        <f t="shared" si="261"/>
        <v>20573</v>
      </c>
    </row>
    <row r="150" spans="2:68" s="2" customFormat="1" x14ac:dyDescent="0.25">
      <c r="B150" s="2" t="s">
        <v>221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>
        <v>762</v>
      </c>
      <c r="T150" s="2">
        <v>1042</v>
      </c>
      <c r="U150" s="2">
        <v>2702</v>
      </c>
      <c r="V150" s="2">
        <f>6831-U150-T150-S150</f>
        <v>2325</v>
      </c>
      <c r="W150" s="2">
        <v>4037</v>
      </c>
      <c r="X150" s="2">
        <v>5622</v>
      </c>
      <c r="Y150" s="2">
        <v>7697</v>
      </c>
      <c r="Z150" s="2">
        <f>23684-Y150-X150-W150</f>
        <v>6328</v>
      </c>
      <c r="AA150" s="2">
        <v>9017</v>
      </c>
      <c r="BO150" s="2">
        <f t="shared" si="260"/>
        <v>6831</v>
      </c>
      <c r="BP150" s="2">
        <f t="shared" si="261"/>
        <v>23684</v>
      </c>
    </row>
    <row r="151" spans="2:68" s="2" customFormat="1" x14ac:dyDescent="0.25">
      <c r="B151" s="2" t="s">
        <v>222</v>
      </c>
      <c r="C151" s="5">
        <v>553</v>
      </c>
      <c r="D151" s="5">
        <v>583</v>
      </c>
      <c r="E151" s="5">
        <v>758</v>
      </c>
      <c r="F151" s="5">
        <f>+BK151-E151-D151-C151</f>
        <v>837</v>
      </c>
      <c r="G151" s="5">
        <v>758</v>
      </c>
      <c r="H151" s="5">
        <v>855</v>
      </c>
      <c r="I151" s="5">
        <v>1113</v>
      </c>
      <c r="J151" s="5">
        <f>3886-I151-H151-G151</f>
        <v>1160</v>
      </c>
      <c r="K151" s="5">
        <v>1391</v>
      </c>
      <c r="L151" s="5">
        <v>1720</v>
      </c>
      <c r="M151" s="5">
        <v>2017</v>
      </c>
      <c r="N151" s="5">
        <f>7111-M151-L151-K151</f>
        <v>1983</v>
      </c>
      <c r="O151" s="5">
        <v>2081</v>
      </c>
      <c r="P151" s="5">
        <v>1602</v>
      </c>
      <c r="Q151" s="5">
        <v>1148</v>
      </c>
      <c r="R151" s="5">
        <f>5785-Q151-P151-O151</f>
        <v>954</v>
      </c>
      <c r="S151" s="5">
        <v>1590</v>
      </c>
      <c r="T151" s="2">
        <v>2740</v>
      </c>
      <c r="U151" s="2">
        <v>4030</v>
      </c>
      <c r="V151" s="2">
        <f>10306-U151-T151-S151</f>
        <v>1946</v>
      </c>
      <c r="W151" s="2">
        <v>2491</v>
      </c>
      <c r="X151" s="2">
        <v>3667</v>
      </c>
      <c r="Y151" s="2">
        <v>5416</v>
      </c>
      <c r="Z151" s="2">
        <f>17108-Y151-X151-W151</f>
        <v>5534</v>
      </c>
      <c r="AA151" s="2">
        <v>5522</v>
      </c>
      <c r="BJ151" s="2">
        <v>2801</v>
      </c>
      <c r="BK151" s="2">
        <v>2731</v>
      </c>
      <c r="BL151" s="2">
        <f>SUM(G151:J151)</f>
        <v>3886</v>
      </c>
      <c r="BM151" s="2">
        <f>SUM(K151:N151)</f>
        <v>7111</v>
      </c>
      <c r="BN151" s="2">
        <f t="shared" si="259"/>
        <v>5785</v>
      </c>
      <c r="BO151" s="2">
        <f t="shared" si="260"/>
        <v>10306</v>
      </c>
      <c r="BP151" s="2">
        <f t="shared" si="261"/>
        <v>17108</v>
      </c>
    </row>
    <row r="152" spans="2:68" s="2" customFormat="1" x14ac:dyDescent="0.25">
      <c r="B152" s="2" t="s">
        <v>46</v>
      </c>
      <c r="C152" s="5">
        <f>422+133+249</f>
        <v>804</v>
      </c>
      <c r="D152" s="5">
        <f>756+288+129</f>
        <v>1173</v>
      </c>
      <c r="E152" s="5">
        <f>805+216+161</f>
        <v>1182</v>
      </c>
      <c r="F152" s="5">
        <f>+BK152-E152-D152-C152</f>
        <v>1117</v>
      </c>
      <c r="G152" s="5">
        <f>254+151+607</f>
        <v>1012</v>
      </c>
      <c r="H152" s="5">
        <f>240+175+698</f>
        <v>1113</v>
      </c>
      <c r="I152" s="5">
        <f>955+247+225</f>
        <v>1427</v>
      </c>
      <c r="J152" s="5">
        <f>3093+1118+833-I152-H152-G152</f>
        <v>1492</v>
      </c>
      <c r="K152" s="5">
        <v>1718</v>
      </c>
      <c r="L152" s="5">
        <v>1830</v>
      </c>
      <c r="M152" s="5">
        <v>1773</v>
      </c>
      <c r="N152" s="5">
        <f>6910-M152-L152-K152</f>
        <v>1589</v>
      </c>
      <c r="O152" s="5">
        <f>1044+454</f>
        <v>1498</v>
      </c>
      <c r="P152" s="5">
        <v>1910</v>
      </c>
      <c r="Q152" s="5">
        <f>536+946</f>
        <v>1482</v>
      </c>
      <c r="R152" s="5">
        <f>3623-Q152-P152-O152+2288</f>
        <v>1021</v>
      </c>
      <c r="S152" s="5">
        <v>659</v>
      </c>
      <c r="T152" s="2">
        <v>843</v>
      </c>
      <c r="U152" s="2">
        <v>753</v>
      </c>
      <c r="V152" s="2">
        <f>3414-U152-T152-S152</f>
        <v>1159</v>
      </c>
      <c r="W152" s="2">
        <v>1647</v>
      </c>
      <c r="X152" s="2">
        <v>1989</v>
      </c>
      <c r="Y152" s="2">
        <v>2016</v>
      </c>
      <c r="Z152" s="2">
        <f>7875-Y152-X152-W152</f>
        <v>2223</v>
      </c>
      <c r="AA152" s="2">
        <v>1626</v>
      </c>
      <c r="BJ152" s="2">
        <f>2368+914+767</f>
        <v>4049</v>
      </c>
      <c r="BK152" s="2">
        <f>2685+992+599</f>
        <v>4276</v>
      </c>
      <c r="BL152" s="2">
        <f>SUM(G152:J152)</f>
        <v>5044</v>
      </c>
      <c r="BM152" s="2">
        <f>SUM(K152:N152)</f>
        <v>6910</v>
      </c>
      <c r="BN152" s="2">
        <f t="shared" si="259"/>
        <v>5911</v>
      </c>
      <c r="BO152" s="2">
        <f t="shared" si="260"/>
        <v>3414</v>
      </c>
      <c r="BP152" s="2">
        <f t="shared" si="261"/>
        <v>7875</v>
      </c>
    </row>
  </sheetData>
  <phoneticPr fontId="2" type="noConversion"/>
  <hyperlinks>
    <hyperlink ref="A1" location="Main!A1" display="Main" xr:uid="{E7DD8E94-DC45-4471-BE1E-1C72A09BA9C6}"/>
  </hyperlink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7D43-A391-463A-AB92-A7E5F2B81574}">
  <dimension ref="A1:J15"/>
  <sheetViews>
    <sheetView topLeftCell="A4" zoomScale="220" zoomScaleNormal="220" workbookViewId="0">
      <selection activeCell="C11" sqref="C11"/>
    </sheetView>
  </sheetViews>
  <sheetFormatPr defaultRowHeight="12.5" x14ac:dyDescent="0.25"/>
  <cols>
    <col min="1" max="1" width="4.54296875" bestFit="1" customWidth="1"/>
    <col min="2" max="2" width="12.54296875" bestFit="1" customWidth="1"/>
    <col min="5" max="5" width="12.54296875" bestFit="1" customWidth="1"/>
    <col min="9" max="9" width="14.1796875" customWidth="1"/>
  </cols>
  <sheetData>
    <row r="1" spans="1:10" x14ac:dyDescent="0.25">
      <c r="A1" s="18" t="s">
        <v>0</v>
      </c>
      <c r="I1" s="34">
        <v>0.18063657407407407</v>
      </c>
    </row>
    <row r="2" spans="1:10" x14ac:dyDescent="0.25">
      <c r="G2" t="s">
        <v>215</v>
      </c>
      <c r="I2" s="34">
        <v>0.1807175925925926</v>
      </c>
    </row>
    <row r="3" spans="1:10" x14ac:dyDescent="0.25">
      <c r="I3" s="34">
        <v>0.18059027777777778</v>
      </c>
    </row>
    <row r="4" spans="1:10" ht="13" x14ac:dyDescent="0.3">
      <c r="B4" t="s">
        <v>205</v>
      </c>
      <c r="C4" s="11">
        <v>38250</v>
      </c>
      <c r="E4" t="s">
        <v>206</v>
      </c>
      <c r="F4" s="11">
        <v>42260</v>
      </c>
      <c r="I4" t="s">
        <v>207</v>
      </c>
      <c r="J4" s="15">
        <v>132</v>
      </c>
    </row>
    <row r="5" spans="1:10" x14ac:dyDescent="0.25">
      <c r="B5">
        <f t="shared" ref="B5:B7" si="0">+B6-750</f>
        <v>35250</v>
      </c>
      <c r="C5" s="10">
        <v>-0.3</v>
      </c>
      <c r="E5">
        <f t="shared" ref="E5:E7" si="1">+E6-1000</f>
        <v>38260</v>
      </c>
      <c r="F5" s="10">
        <v>-0.25</v>
      </c>
      <c r="I5" t="s">
        <v>208</v>
      </c>
      <c r="J5" s="16">
        <v>1.4999999999999999E-2</v>
      </c>
    </row>
    <row r="6" spans="1:10" x14ac:dyDescent="0.25">
      <c r="B6">
        <f t="shared" si="0"/>
        <v>36000</v>
      </c>
      <c r="C6" s="10">
        <v>-0.25</v>
      </c>
      <c r="E6">
        <f t="shared" si="1"/>
        <v>39260</v>
      </c>
      <c r="F6" s="10">
        <v>-0.2</v>
      </c>
      <c r="I6" t="s">
        <v>209</v>
      </c>
      <c r="J6">
        <v>6.35</v>
      </c>
    </row>
    <row r="7" spans="1:10" x14ac:dyDescent="0.25">
      <c r="B7">
        <f t="shared" si="0"/>
        <v>36750</v>
      </c>
      <c r="C7" s="10">
        <v>-0.2</v>
      </c>
      <c r="E7">
        <f t="shared" si="1"/>
        <v>40260</v>
      </c>
      <c r="F7" s="10">
        <v>-0.15</v>
      </c>
      <c r="I7" t="s">
        <v>210</v>
      </c>
      <c r="J7" s="15">
        <v>5.6</v>
      </c>
    </row>
    <row r="8" spans="1:10" x14ac:dyDescent="0.25">
      <c r="B8">
        <f>+B9-750</f>
        <v>37500</v>
      </c>
      <c r="C8" s="10">
        <v>-0.15</v>
      </c>
      <c r="E8">
        <f>+E9-1000</f>
        <v>41260</v>
      </c>
      <c r="F8" s="10">
        <v>-0.1</v>
      </c>
      <c r="I8" t="s">
        <v>211</v>
      </c>
      <c r="J8" s="15">
        <f>+J7+J6</f>
        <v>11.95</v>
      </c>
    </row>
    <row r="9" spans="1:10" x14ac:dyDescent="0.25">
      <c r="B9">
        <f>+C4</f>
        <v>38250</v>
      </c>
      <c r="C9" s="10">
        <v>-0.1</v>
      </c>
      <c r="E9">
        <v>42260</v>
      </c>
      <c r="F9" s="10">
        <v>-0.05</v>
      </c>
      <c r="I9" t="s">
        <v>212</v>
      </c>
      <c r="J9">
        <f>+J5*J4</f>
        <v>1.98</v>
      </c>
    </row>
    <row r="10" spans="1:10" ht="13" x14ac:dyDescent="0.3">
      <c r="B10">
        <f>+B9+1000</f>
        <v>39250</v>
      </c>
      <c r="C10" s="10">
        <v>-0.05</v>
      </c>
      <c r="E10" s="32">
        <f>+E9+1000</f>
        <v>43260</v>
      </c>
      <c r="F10" s="33">
        <v>0</v>
      </c>
    </row>
    <row r="11" spans="1:10" ht="13" x14ac:dyDescent="0.3">
      <c r="B11" s="32">
        <f t="shared" ref="B11:B15" si="2">+B10+1000</f>
        <v>40250</v>
      </c>
      <c r="C11" s="33">
        <v>0</v>
      </c>
      <c r="E11" s="30">
        <f t="shared" ref="E11:E15" si="3">+E10+1000</f>
        <v>44260</v>
      </c>
      <c r="F11" s="31">
        <v>2.5000000000000001E-2</v>
      </c>
    </row>
    <row r="12" spans="1:10" x14ac:dyDescent="0.25">
      <c r="B12" s="30">
        <f t="shared" si="2"/>
        <v>41250</v>
      </c>
      <c r="C12" s="31">
        <v>2.5000000000000001E-2</v>
      </c>
      <c r="E12">
        <f t="shared" si="3"/>
        <v>45260</v>
      </c>
      <c r="F12" s="10">
        <v>0.05</v>
      </c>
      <c r="I12" t="s">
        <v>214</v>
      </c>
      <c r="J12" s="15">
        <v>3.2</v>
      </c>
    </row>
    <row r="13" spans="1:10" x14ac:dyDescent="0.25">
      <c r="B13">
        <f t="shared" si="2"/>
        <v>42250</v>
      </c>
      <c r="C13" s="10">
        <v>0.05</v>
      </c>
      <c r="E13">
        <f t="shared" si="3"/>
        <v>46260</v>
      </c>
      <c r="F13" s="10">
        <v>7.4999999999999997E-2</v>
      </c>
      <c r="I13" t="s">
        <v>213</v>
      </c>
      <c r="J13" s="15">
        <v>2.92</v>
      </c>
    </row>
    <row r="14" spans="1:10" x14ac:dyDescent="0.25">
      <c r="B14">
        <f t="shared" si="2"/>
        <v>43250</v>
      </c>
      <c r="C14" s="10">
        <v>7.4999999999999997E-2</v>
      </c>
      <c r="E14">
        <f t="shared" si="3"/>
        <v>47260</v>
      </c>
      <c r="F14" s="10">
        <v>0.1</v>
      </c>
      <c r="I14" t="s">
        <v>211</v>
      </c>
      <c r="J14" s="15">
        <f>+J12+J13</f>
        <v>6.12</v>
      </c>
    </row>
    <row r="15" spans="1:10" x14ac:dyDescent="0.25">
      <c r="B15">
        <f t="shared" si="2"/>
        <v>44250</v>
      </c>
      <c r="C15" s="10">
        <v>0.1</v>
      </c>
      <c r="E15">
        <f t="shared" si="3"/>
        <v>48260</v>
      </c>
      <c r="F15" s="10">
        <v>0.105</v>
      </c>
      <c r="I15" t="s">
        <v>212</v>
      </c>
      <c r="J15" s="15">
        <v>0</v>
      </c>
    </row>
  </sheetData>
  <hyperlinks>
    <hyperlink ref="A1" location="Main!A1" display="Main" xr:uid="{E8E60E99-D254-4BC9-B0E8-4D7465BE2F8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C2DF-42DA-41EA-9376-8EEC08F9AC1D}">
  <dimension ref="A1:K24"/>
  <sheetViews>
    <sheetView zoomScale="175" zoomScaleNormal="175" workbookViewId="0"/>
  </sheetViews>
  <sheetFormatPr defaultRowHeight="12.5" x14ac:dyDescent="0.25"/>
  <cols>
    <col min="1" max="1" width="5" bestFit="1" customWidth="1"/>
    <col min="2" max="2" width="16.81640625" customWidth="1"/>
    <col min="6" max="6" width="11.81640625" bestFit="1" customWidth="1"/>
  </cols>
  <sheetData>
    <row r="1" spans="1:11" x14ac:dyDescent="0.25">
      <c r="A1" t="s">
        <v>0</v>
      </c>
    </row>
    <row r="4" spans="1:11" x14ac:dyDescent="0.25">
      <c r="B4" t="s">
        <v>147</v>
      </c>
      <c r="F4" t="s">
        <v>152</v>
      </c>
    </row>
    <row r="5" spans="1:11" x14ac:dyDescent="0.25">
      <c r="B5" t="s">
        <v>148</v>
      </c>
      <c r="C5">
        <v>24690</v>
      </c>
      <c r="F5" t="s">
        <v>148</v>
      </c>
      <c r="G5">
        <v>26820</v>
      </c>
    </row>
    <row r="6" spans="1:11" x14ac:dyDescent="0.25">
      <c r="B6" t="s">
        <v>149</v>
      </c>
      <c r="C6">
        <v>23520</v>
      </c>
    </row>
    <row r="7" spans="1:11" x14ac:dyDescent="0.25">
      <c r="B7" t="s">
        <v>150</v>
      </c>
      <c r="C7">
        <v>24480</v>
      </c>
    </row>
    <row r="10" spans="1:11" x14ac:dyDescent="0.25">
      <c r="B10" t="s">
        <v>151</v>
      </c>
      <c r="C10">
        <v>24690</v>
      </c>
      <c r="D10" s="10">
        <v>-0.1</v>
      </c>
      <c r="F10" t="s">
        <v>151</v>
      </c>
      <c r="G10">
        <v>26820</v>
      </c>
      <c r="H10" s="10">
        <v>-0.1</v>
      </c>
      <c r="K10" s="10">
        <f>+D10+H10</f>
        <v>-0.2</v>
      </c>
    </row>
    <row r="11" spans="1:11" x14ac:dyDescent="0.25">
      <c r="C11">
        <v>25000</v>
      </c>
      <c r="D11" s="10">
        <v>-0.05</v>
      </c>
      <c r="G11">
        <f>G10+500</f>
        <v>27320</v>
      </c>
      <c r="H11" s="10">
        <v>-0.05</v>
      </c>
    </row>
    <row r="12" spans="1:11" ht="13" x14ac:dyDescent="0.3">
      <c r="C12" s="11">
        <v>25500</v>
      </c>
      <c r="D12" s="17">
        <v>-0.03</v>
      </c>
      <c r="E12" s="11"/>
      <c r="F12" s="11"/>
      <c r="G12" s="11">
        <f t="shared" ref="G12:G18" si="0">G11+500</f>
        <v>27820</v>
      </c>
      <c r="H12" s="17">
        <v>-0.03</v>
      </c>
    </row>
    <row r="13" spans="1:11" ht="13" x14ac:dyDescent="0.3">
      <c r="C13" s="11">
        <v>26000</v>
      </c>
      <c r="D13" s="17">
        <v>-0.01</v>
      </c>
      <c r="E13" s="11"/>
      <c r="F13" s="11"/>
      <c r="G13" s="11">
        <f t="shared" si="0"/>
        <v>28320</v>
      </c>
      <c r="H13" s="17">
        <v>-0.01</v>
      </c>
    </row>
    <row r="14" spans="1:11" ht="13" x14ac:dyDescent="0.3">
      <c r="C14" s="11">
        <v>26500</v>
      </c>
      <c r="D14" s="17">
        <v>0</v>
      </c>
      <c r="E14" s="11"/>
      <c r="F14" s="11"/>
      <c r="G14" s="11">
        <f t="shared" si="0"/>
        <v>28820</v>
      </c>
      <c r="H14" s="17">
        <v>0</v>
      </c>
    </row>
    <row r="15" spans="1:11" ht="13" x14ac:dyDescent="0.3">
      <c r="C15" s="11">
        <v>27000</v>
      </c>
      <c r="D15" s="17">
        <v>0</v>
      </c>
      <c r="E15" s="11"/>
      <c r="F15" s="11"/>
      <c r="G15" s="11">
        <f t="shared" si="0"/>
        <v>29320</v>
      </c>
      <c r="H15" s="17">
        <v>0</v>
      </c>
    </row>
    <row r="16" spans="1:11" ht="13" x14ac:dyDescent="0.3">
      <c r="C16" s="11">
        <v>27500</v>
      </c>
      <c r="D16" s="17">
        <v>0.03</v>
      </c>
      <c r="E16" s="11"/>
      <c r="F16" s="11"/>
      <c r="G16" s="11">
        <f t="shared" si="0"/>
        <v>29820</v>
      </c>
      <c r="H16" s="17">
        <v>0.03</v>
      </c>
    </row>
    <row r="17" spans="2:11" x14ac:dyDescent="0.25">
      <c r="C17">
        <v>28000</v>
      </c>
      <c r="D17" s="10">
        <v>0.05</v>
      </c>
      <c r="G17">
        <f t="shared" si="0"/>
        <v>30320</v>
      </c>
      <c r="H17" s="10">
        <v>0.05</v>
      </c>
    </row>
    <row r="18" spans="2:11" x14ac:dyDescent="0.25">
      <c r="C18">
        <v>28500</v>
      </c>
      <c r="D18" s="10">
        <v>0.1</v>
      </c>
      <c r="G18">
        <f t="shared" si="0"/>
        <v>30820</v>
      </c>
      <c r="H18" s="10">
        <v>0.1</v>
      </c>
      <c r="K18" s="10">
        <f>+H18+D18</f>
        <v>0.2</v>
      </c>
    </row>
    <row r="20" spans="2:11" x14ac:dyDescent="0.25">
      <c r="B20" t="s">
        <v>153</v>
      </c>
      <c r="C20" s="15">
        <v>954</v>
      </c>
    </row>
    <row r="21" spans="2:11" x14ac:dyDescent="0.25">
      <c r="B21" t="s">
        <v>154</v>
      </c>
      <c r="C21" s="15">
        <v>39</v>
      </c>
    </row>
    <row r="22" spans="2:11" x14ac:dyDescent="0.25">
      <c r="B22" t="s">
        <v>155</v>
      </c>
      <c r="C22" s="15">
        <v>40</v>
      </c>
    </row>
    <row r="23" spans="2:11" x14ac:dyDescent="0.25">
      <c r="B23" t="s">
        <v>156</v>
      </c>
      <c r="C23" s="15">
        <f>C21+C22</f>
        <v>79</v>
      </c>
    </row>
    <row r="24" spans="2:11" x14ac:dyDescent="0.25">
      <c r="C24" s="16">
        <f>C23/C20</f>
        <v>8.2809224318658281E-2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Q424 Quarterly Earnings Preview</vt:lpstr>
      <vt:lpstr>Q1 Quarterly Earnings Preview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2023-08-16T02:45:30Z</dcterms:created>
  <dcterms:modified xsi:type="dcterms:W3CDTF">2026-07-04T14:11:37Z</dcterms:modified>
</cp:coreProperties>
</file>