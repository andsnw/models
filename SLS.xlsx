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80EEE05-FCBF-4E7C-A00E-BD37B79CE8BF}" xr6:coauthVersionLast="47" xr6:coauthVersionMax="47" xr10:uidLastSave="{00000000-0000-0000-0000-000000000000}"/>
  <bookViews>
    <workbookView xWindow="10410" yWindow="2490" windowWidth="25450" windowHeight="18190" activeTab="1" xr2:uid="{504C1B84-CF57-480C-AAED-9E257BE1703D}"/>
  </bookViews>
  <sheets>
    <sheet name="Main" sheetId="1" r:id="rId1"/>
    <sheet name="galinpepimut-S" sheetId="2" r:id="rId2"/>
    <sheet name="Literature" sheetId="3" r:id="rId3"/>
    <sheet name="Trial" sheetId="4" r:id="rId4"/>
    <sheet name="Patients" sheetId="5" r:id="rId5"/>
    <sheet name="18mo Scenario" sheetId="6" r:id="rId6"/>
    <sheet name="24mo Scenari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0" i="7" l="1"/>
  <c r="J140" i="7"/>
  <c r="K139" i="7"/>
  <c r="J139" i="7"/>
  <c r="J138" i="7"/>
  <c r="K138" i="7"/>
  <c r="K137" i="7"/>
  <c r="J137" i="7"/>
  <c r="J136" i="7"/>
  <c r="K136" i="7"/>
  <c r="K135" i="7"/>
  <c r="J135" i="7"/>
  <c r="J134" i="7"/>
  <c r="K134" i="7"/>
  <c r="K133" i="7"/>
  <c r="J133" i="7"/>
  <c r="L141" i="7"/>
  <c r="L140" i="7"/>
  <c r="L139" i="7"/>
  <c r="L138" i="7"/>
  <c r="L137" i="7"/>
  <c r="L136" i="7"/>
  <c r="L135" i="7"/>
  <c r="L134" i="7"/>
  <c r="L13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4" i="7"/>
  <c r="L140" i="6"/>
  <c r="J140" i="6"/>
  <c r="K140" i="6"/>
  <c r="J139" i="6"/>
  <c r="L139" i="6" s="1"/>
  <c r="K139" i="6"/>
  <c r="L138" i="6"/>
  <c r="K138" i="6"/>
  <c r="J138" i="6"/>
  <c r="L137" i="6"/>
  <c r="K137" i="6"/>
  <c r="J137" i="6"/>
  <c r="L136" i="6"/>
  <c r="K136" i="6"/>
  <c r="J136" i="6"/>
  <c r="L135" i="6"/>
  <c r="J135" i="6"/>
  <c r="K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D132" i="5"/>
  <c r="I132" i="5" s="1"/>
  <c r="D131" i="5"/>
  <c r="I131" i="5" s="1"/>
  <c r="D130" i="5"/>
  <c r="I130" i="5" s="1"/>
  <c r="D129" i="5"/>
  <c r="I129" i="5" s="1"/>
  <c r="D128" i="5"/>
  <c r="I128" i="5" s="1"/>
  <c r="D127" i="5"/>
  <c r="I127" i="5" s="1"/>
  <c r="D126" i="5"/>
  <c r="E126" i="5" s="1"/>
  <c r="D125" i="5"/>
  <c r="I125" i="5" s="1"/>
  <c r="D124" i="5"/>
  <c r="I124" i="5" s="1"/>
  <c r="D123" i="5"/>
  <c r="I123" i="5" s="1"/>
  <c r="D122" i="5"/>
  <c r="E122" i="5" s="1"/>
  <c r="D121" i="5"/>
  <c r="I121" i="5" s="1"/>
  <c r="D120" i="5"/>
  <c r="E120" i="5" s="1"/>
  <c r="D119" i="5"/>
  <c r="I119" i="5" s="1"/>
  <c r="D118" i="5"/>
  <c r="I118" i="5" s="1"/>
  <c r="D117" i="5"/>
  <c r="I117" i="5" s="1"/>
  <c r="D116" i="5"/>
  <c r="E116" i="5" s="1"/>
  <c r="D115" i="5"/>
  <c r="I115" i="5" s="1"/>
  <c r="D114" i="5"/>
  <c r="I114" i="5" s="1"/>
  <c r="D113" i="5"/>
  <c r="E113" i="5" s="1"/>
  <c r="D112" i="5"/>
  <c r="I112" i="5" s="1"/>
  <c r="D111" i="5"/>
  <c r="E111" i="5" s="1"/>
  <c r="D110" i="5"/>
  <c r="I110" i="5" s="1"/>
  <c r="D109" i="5"/>
  <c r="I109" i="5" s="1"/>
  <c r="D108" i="5"/>
  <c r="E108" i="5" s="1"/>
  <c r="D107" i="5"/>
  <c r="E107" i="5" s="1"/>
  <c r="D106" i="5"/>
  <c r="E106" i="5" s="1"/>
  <c r="D105" i="5"/>
  <c r="I105" i="5" s="1"/>
  <c r="D104" i="5"/>
  <c r="I104" i="5" s="1"/>
  <c r="D103" i="5"/>
  <c r="E103" i="5" s="1"/>
  <c r="D102" i="5"/>
  <c r="I102" i="5" s="1"/>
  <c r="D101" i="5"/>
  <c r="I101" i="5" s="1"/>
  <c r="D100" i="5"/>
  <c r="I100" i="5" s="1"/>
  <c r="D99" i="5"/>
  <c r="I99" i="5" s="1"/>
  <c r="D98" i="5"/>
  <c r="I98" i="5" s="1"/>
  <c r="D97" i="5"/>
  <c r="E97" i="5" s="1"/>
  <c r="B101" i="5"/>
  <c r="D96" i="5"/>
  <c r="E96" i="5" s="1"/>
  <c r="D95" i="5"/>
  <c r="E95" i="5" s="1"/>
  <c r="D94" i="5"/>
  <c r="E94" i="5" s="1"/>
  <c r="D93" i="5"/>
  <c r="E93" i="5" s="1"/>
  <c r="D92" i="5"/>
  <c r="I92" i="5" s="1"/>
  <c r="D91" i="5"/>
  <c r="I91" i="5" s="1"/>
  <c r="D90" i="5"/>
  <c r="I90" i="5" s="1"/>
  <c r="D89" i="5"/>
  <c r="I89" i="5" s="1"/>
  <c r="D88" i="5"/>
  <c r="E88" i="5" s="1"/>
  <c r="D87" i="5"/>
  <c r="E87" i="5" s="1"/>
  <c r="D86" i="5"/>
  <c r="I86" i="5" s="1"/>
  <c r="D85" i="5"/>
  <c r="E85" i="5" s="1"/>
  <c r="D84" i="5"/>
  <c r="I84" i="5" s="1"/>
  <c r="D83" i="5"/>
  <c r="I83" i="5" s="1"/>
  <c r="D82" i="5"/>
  <c r="E82" i="5" s="1"/>
  <c r="D81" i="5"/>
  <c r="E81" i="5" s="1"/>
  <c r="D80" i="5"/>
  <c r="E80" i="5" s="1"/>
  <c r="D79" i="5"/>
  <c r="I79" i="5" s="1"/>
  <c r="D78" i="5"/>
  <c r="I78" i="5" s="1"/>
  <c r="D77" i="5"/>
  <c r="I77" i="5" s="1"/>
  <c r="D76" i="5"/>
  <c r="I76" i="5" s="1"/>
  <c r="D75" i="5"/>
  <c r="I75" i="5" s="1"/>
  <c r="D74" i="5"/>
  <c r="E74" i="5" s="1"/>
  <c r="D73" i="5"/>
  <c r="E73" i="5" s="1"/>
  <c r="D72" i="5"/>
  <c r="I72" i="5" s="1"/>
  <c r="D71" i="5"/>
  <c r="I71" i="5" s="1"/>
  <c r="D70" i="5"/>
  <c r="I70" i="5" s="1"/>
  <c r="D69" i="5"/>
  <c r="I69" i="5" s="1"/>
  <c r="D68" i="5"/>
  <c r="E68" i="5" s="1"/>
  <c r="D67" i="5"/>
  <c r="I67" i="5" s="1"/>
  <c r="D66" i="5"/>
  <c r="E66" i="5" s="1"/>
  <c r="D65" i="5"/>
  <c r="I65" i="5" s="1"/>
  <c r="D64" i="5"/>
  <c r="I64" i="5" s="1"/>
  <c r="D63" i="5"/>
  <c r="I63" i="5" s="1"/>
  <c r="D62" i="5"/>
  <c r="E62" i="5" s="1"/>
  <c r="D61" i="5"/>
  <c r="I61" i="5" s="1"/>
  <c r="D60" i="5"/>
  <c r="E60" i="5" s="1"/>
  <c r="D59" i="5"/>
  <c r="E59" i="5" s="1"/>
  <c r="D58" i="5"/>
  <c r="I58" i="5" s="1"/>
  <c r="D57" i="5"/>
  <c r="E57" i="5" s="1"/>
  <c r="D56" i="5"/>
  <c r="I56" i="5" s="1"/>
  <c r="D55" i="5"/>
  <c r="E55" i="5" s="1"/>
  <c r="D54" i="5"/>
  <c r="I54" i="5" s="1"/>
  <c r="D53" i="5"/>
  <c r="I53" i="5" s="1"/>
  <c r="D52" i="5"/>
  <c r="E52" i="5" s="1"/>
  <c r="D51" i="5"/>
  <c r="E51" i="5" s="1"/>
  <c r="D50" i="5"/>
  <c r="I50" i="5" s="1"/>
  <c r="D49" i="5"/>
  <c r="I49" i="5" s="1"/>
  <c r="D48" i="5"/>
  <c r="I48" i="5" s="1"/>
  <c r="D47" i="5"/>
  <c r="I47" i="5" s="1"/>
  <c r="D46" i="5"/>
  <c r="I46" i="5" s="1"/>
  <c r="D45" i="5"/>
  <c r="I45" i="5" s="1"/>
  <c r="D44" i="5"/>
  <c r="I44" i="5" s="1"/>
  <c r="D43" i="5"/>
  <c r="E43" i="5" s="1"/>
  <c r="D42" i="5"/>
  <c r="I42" i="5" s="1"/>
  <c r="D41" i="5"/>
  <c r="I41" i="5" s="1"/>
  <c r="D40" i="5"/>
  <c r="I40" i="5" s="1"/>
  <c r="D39" i="5"/>
  <c r="E39" i="5" s="1"/>
  <c r="D38" i="5"/>
  <c r="I38" i="5" s="1"/>
  <c r="D37" i="5"/>
  <c r="I37" i="5" s="1"/>
  <c r="D36" i="5"/>
  <c r="E36" i="5" s="1"/>
  <c r="D35" i="5"/>
  <c r="I35" i="5" s="1"/>
  <c r="D34" i="5"/>
  <c r="E34" i="5" s="1"/>
  <c r="D33" i="5"/>
  <c r="I33" i="5" s="1"/>
  <c r="D32" i="5"/>
  <c r="E32" i="5" s="1"/>
  <c r="D31" i="5"/>
  <c r="E31" i="5" s="1"/>
  <c r="D30" i="5"/>
  <c r="E30" i="5" s="1"/>
  <c r="D29" i="5"/>
  <c r="I29" i="5" s="1"/>
  <c r="D28" i="5"/>
  <c r="I28" i="5" s="1"/>
  <c r="D27" i="5"/>
  <c r="I27" i="5" s="1"/>
  <c r="D26" i="5"/>
  <c r="I26" i="5" s="1"/>
  <c r="D25" i="5"/>
  <c r="E25" i="5" s="1"/>
  <c r="D24" i="5"/>
  <c r="I24" i="5" s="1"/>
  <c r="D23" i="5"/>
  <c r="E23" i="5" s="1"/>
  <c r="D22" i="5"/>
  <c r="I22" i="5" s="1"/>
  <c r="D21" i="5"/>
  <c r="I21" i="5" s="1"/>
  <c r="D20" i="5"/>
  <c r="I20" i="5" s="1"/>
  <c r="D19" i="5"/>
  <c r="I19" i="5" s="1"/>
  <c r="D18" i="5"/>
  <c r="I18" i="5" s="1"/>
  <c r="D17" i="5"/>
  <c r="I17" i="5" s="1"/>
  <c r="D16" i="5"/>
  <c r="E16" i="5" s="1"/>
  <c r="D15" i="5"/>
  <c r="E15" i="5" s="1"/>
  <c r="D14" i="5"/>
  <c r="I14" i="5" s="1"/>
  <c r="D13" i="5"/>
  <c r="I13" i="5" s="1"/>
  <c r="C52" i="4"/>
  <c r="C51" i="4"/>
  <c r="C50" i="4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D12" i="5"/>
  <c r="E12" i="5" s="1"/>
  <c r="D11" i="5"/>
  <c r="E11" i="5" s="1"/>
  <c r="D10" i="5"/>
  <c r="E10" i="5" s="1"/>
  <c r="D9" i="5"/>
  <c r="E9" i="5" s="1"/>
  <c r="D8" i="5"/>
  <c r="E8" i="5" s="1"/>
  <c r="H6" i="5"/>
  <c r="D7" i="5"/>
  <c r="E7" i="5" s="1"/>
  <c r="D6" i="5"/>
  <c r="I6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F53" i="4"/>
  <c r="E53" i="4"/>
  <c r="F17" i="4"/>
  <c r="F16" i="4"/>
  <c r="E17" i="4"/>
  <c r="E16" i="4"/>
  <c r="E15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L6" i="1"/>
  <c r="L4" i="1"/>
  <c r="I62" i="5" l="1"/>
  <c r="E63" i="5"/>
  <c r="E89" i="5"/>
  <c r="E90" i="5"/>
  <c r="E121" i="5"/>
  <c r="E91" i="5"/>
  <c r="I88" i="5"/>
  <c r="E109" i="5"/>
  <c r="I81" i="5"/>
  <c r="I108" i="5"/>
  <c r="I120" i="5"/>
  <c r="E101" i="5"/>
  <c r="E123" i="5"/>
  <c r="I122" i="5"/>
  <c r="I80" i="5"/>
  <c r="I107" i="5"/>
  <c r="E129" i="5"/>
  <c r="E124" i="5"/>
  <c r="E128" i="5"/>
  <c r="E83" i="5"/>
  <c r="E130" i="5"/>
  <c r="E84" i="5"/>
  <c r="E92" i="5"/>
  <c r="E114" i="5"/>
  <c r="I82" i="5"/>
  <c r="E98" i="5"/>
  <c r="I31" i="5"/>
  <c r="I60" i="5"/>
  <c r="I116" i="5"/>
  <c r="I95" i="5"/>
  <c r="I97" i="5"/>
  <c r="E61" i="5"/>
  <c r="E99" i="5"/>
  <c r="E117" i="5"/>
  <c r="E131" i="5"/>
  <c r="I126" i="5"/>
  <c r="I113" i="5"/>
  <c r="I59" i="5"/>
  <c r="I94" i="5"/>
  <c r="E127" i="5"/>
  <c r="I96" i="5"/>
  <c r="E115" i="5"/>
  <c r="I30" i="5"/>
  <c r="F88" i="5"/>
  <c r="G88" i="5" s="1"/>
  <c r="F115" i="5"/>
  <c r="G115" i="5" s="1"/>
  <c r="F95" i="5"/>
  <c r="G95" i="5" s="1"/>
  <c r="F102" i="5"/>
  <c r="G102" i="5" s="1"/>
  <c r="F84" i="5"/>
  <c r="G84" i="5" s="1"/>
  <c r="I85" i="5"/>
  <c r="F124" i="5"/>
  <c r="G124" i="5" s="1"/>
  <c r="F127" i="5"/>
  <c r="G127" i="5" s="1"/>
  <c r="F89" i="5"/>
  <c r="G89" i="5" s="1"/>
  <c r="F130" i="5"/>
  <c r="G130" i="5" s="1"/>
  <c r="E118" i="5"/>
  <c r="F104" i="5"/>
  <c r="G104" i="5" s="1"/>
  <c r="F111" i="5"/>
  <c r="G111" i="5" s="1"/>
  <c r="F118" i="5"/>
  <c r="G118" i="5" s="1"/>
  <c r="F108" i="5"/>
  <c r="G108" i="5" s="1"/>
  <c r="F122" i="5"/>
  <c r="G122" i="5" s="1"/>
  <c r="F99" i="5"/>
  <c r="G99" i="5" s="1"/>
  <c r="E112" i="5"/>
  <c r="F131" i="5"/>
  <c r="G131" i="5" s="1"/>
  <c r="E102" i="5"/>
  <c r="F129" i="5"/>
  <c r="G129" i="5" s="1"/>
  <c r="F85" i="5"/>
  <c r="G85" i="5" s="1"/>
  <c r="E125" i="5"/>
  <c r="F128" i="5"/>
  <c r="G128" i="5" s="1"/>
  <c r="E104" i="5"/>
  <c r="E105" i="5"/>
  <c r="E119" i="5"/>
  <c r="F120" i="5"/>
  <c r="G120" i="5" s="1"/>
  <c r="F110" i="5"/>
  <c r="G110" i="5" s="1"/>
  <c r="E86" i="5"/>
  <c r="I111" i="5"/>
  <c r="F112" i="5"/>
  <c r="G112" i="5" s="1"/>
  <c r="E100" i="5"/>
  <c r="F119" i="5"/>
  <c r="G119" i="5" s="1"/>
  <c r="E132" i="5"/>
  <c r="F101" i="5"/>
  <c r="G101" i="5" s="1"/>
  <c r="F114" i="5"/>
  <c r="G114" i="5" s="1"/>
  <c r="F121" i="5"/>
  <c r="G121" i="5" s="1"/>
  <c r="F123" i="5"/>
  <c r="G123" i="5" s="1"/>
  <c r="F105" i="5"/>
  <c r="G105" i="5" s="1"/>
  <c r="F87" i="5"/>
  <c r="G87" i="5" s="1"/>
  <c r="I93" i="5"/>
  <c r="F100" i="5"/>
  <c r="G100" i="5" s="1"/>
  <c r="F132" i="5"/>
  <c r="G132" i="5" s="1"/>
  <c r="F82" i="5"/>
  <c r="G82" i="5" s="1"/>
  <c r="F103" i="5"/>
  <c r="G103" i="5" s="1"/>
  <c r="F116" i="5"/>
  <c r="G116" i="5" s="1"/>
  <c r="F97" i="5"/>
  <c r="G97" i="5" s="1"/>
  <c r="I103" i="5"/>
  <c r="F91" i="5"/>
  <c r="G91" i="5" s="1"/>
  <c r="F98" i="5"/>
  <c r="G98" i="5" s="1"/>
  <c r="F125" i="5"/>
  <c r="G125" i="5" s="1"/>
  <c r="I106" i="5"/>
  <c r="F113" i="5"/>
  <c r="G113" i="5" s="1"/>
  <c r="F96" i="5"/>
  <c r="G96" i="5" s="1"/>
  <c r="F109" i="5"/>
  <c r="G109" i="5" s="1"/>
  <c r="E110" i="5"/>
  <c r="F86" i="5"/>
  <c r="G86" i="5" s="1"/>
  <c r="F93" i="5"/>
  <c r="G93" i="5" s="1"/>
  <c r="F106" i="5"/>
  <c r="G106" i="5" s="1"/>
  <c r="I87" i="5"/>
  <c r="F94" i="5"/>
  <c r="G94" i="5" s="1"/>
  <c r="F126" i="5"/>
  <c r="G126" i="5" s="1"/>
  <c r="F83" i="5"/>
  <c r="G83" i="5" s="1"/>
  <c r="F90" i="5"/>
  <c r="G90" i="5" s="1"/>
  <c r="F117" i="5"/>
  <c r="G117" i="5" s="1"/>
  <c r="F92" i="5"/>
  <c r="G92" i="5" s="1"/>
  <c r="F107" i="5"/>
  <c r="G107" i="5" s="1"/>
  <c r="E79" i="5"/>
  <c r="I32" i="5"/>
  <c r="E64" i="5"/>
  <c r="E21" i="5"/>
  <c r="E22" i="5"/>
  <c r="E28" i="5"/>
  <c r="E29" i="5"/>
  <c r="E47" i="5"/>
  <c r="E49" i="5"/>
  <c r="E48" i="5"/>
  <c r="E50" i="5"/>
  <c r="I51" i="5"/>
  <c r="E18" i="5"/>
  <c r="E19" i="5"/>
  <c r="E54" i="5"/>
  <c r="I16" i="5"/>
  <c r="I52" i="5"/>
  <c r="I15" i="5"/>
  <c r="E17" i="5"/>
  <c r="E53" i="5"/>
  <c r="E20" i="5"/>
  <c r="E26" i="5"/>
  <c r="I57" i="5"/>
  <c r="E58" i="5"/>
  <c r="E37" i="5"/>
  <c r="E69" i="5"/>
  <c r="E38" i="5"/>
  <c r="E27" i="5"/>
  <c r="I36" i="5"/>
  <c r="I25" i="5"/>
  <c r="I68" i="5"/>
  <c r="E40" i="5"/>
  <c r="I39" i="5"/>
  <c r="I73" i="5"/>
  <c r="E42" i="5"/>
  <c r="E44" i="5"/>
  <c r="E76" i="5"/>
  <c r="I23" i="5"/>
  <c r="E45" i="5"/>
  <c r="I55" i="5"/>
  <c r="E77" i="5"/>
  <c r="E71" i="5"/>
  <c r="E24" i="5"/>
  <c r="I34" i="5"/>
  <c r="E56" i="5"/>
  <c r="I66" i="5"/>
  <c r="E70" i="5"/>
  <c r="E72" i="5"/>
  <c r="I43" i="5"/>
  <c r="E65" i="5"/>
  <c r="E13" i="5"/>
  <c r="E35" i="5"/>
  <c r="E67" i="5"/>
  <c r="I74" i="5"/>
  <c r="E75" i="5"/>
  <c r="E33" i="5"/>
  <c r="E14" i="5"/>
  <c r="E46" i="5"/>
  <c r="E78" i="5"/>
  <c r="E41" i="5"/>
  <c r="E18" i="4"/>
  <c r="F19" i="4"/>
  <c r="E19" i="4"/>
  <c r="F18" i="4"/>
  <c r="F73" i="5"/>
  <c r="G73" i="5" s="1"/>
  <c r="F76" i="5"/>
  <c r="G76" i="5" s="1"/>
  <c r="F71" i="5"/>
  <c r="G71" i="5" s="1"/>
  <c r="F72" i="5"/>
  <c r="G72" i="5" s="1"/>
  <c r="F79" i="5"/>
  <c r="G79" i="5" s="1"/>
  <c r="F77" i="5"/>
  <c r="G77" i="5" s="1"/>
  <c r="F78" i="5"/>
  <c r="G78" i="5" s="1"/>
  <c r="F74" i="5"/>
  <c r="G74" i="5" s="1"/>
  <c r="F80" i="5"/>
  <c r="G80" i="5" s="1"/>
  <c r="F81" i="5"/>
  <c r="G81" i="5" s="1"/>
  <c r="F75" i="5"/>
  <c r="G75" i="5" s="1"/>
  <c r="F67" i="5"/>
  <c r="G67" i="5" s="1"/>
  <c r="F68" i="5"/>
  <c r="G68" i="5" s="1"/>
  <c r="F69" i="5"/>
  <c r="G69" i="5" s="1"/>
  <c r="F70" i="5"/>
  <c r="G70" i="5" s="1"/>
  <c r="F66" i="5"/>
  <c r="G66" i="5" s="1"/>
  <c r="F65" i="5"/>
  <c r="G65" i="5" s="1"/>
  <c r="F48" i="5"/>
  <c r="G48" i="5" s="1"/>
  <c r="F56" i="5"/>
  <c r="G56" i="5" s="1"/>
  <c r="F59" i="5"/>
  <c r="G59" i="5" s="1"/>
  <c r="F49" i="5"/>
  <c r="G49" i="5" s="1"/>
  <c r="F28" i="5"/>
  <c r="G28" i="5" s="1"/>
  <c r="F60" i="5"/>
  <c r="G60" i="5" s="1"/>
  <c r="F46" i="5"/>
  <c r="G46" i="5" s="1"/>
  <c r="F55" i="5"/>
  <c r="G55" i="5" s="1"/>
  <c r="F52" i="5"/>
  <c r="G52" i="5" s="1"/>
  <c r="F53" i="5"/>
  <c r="G53" i="5" s="1"/>
  <c r="F54" i="5"/>
  <c r="G54" i="5" s="1"/>
  <c r="F61" i="5"/>
  <c r="G61" i="5" s="1"/>
  <c r="F62" i="5"/>
  <c r="G62" i="5" s="1"/>
  <c r="F47" i="5"/>
  <c r="G47" i="5" s="1"/>
  <c r="F63" i="5"/>
  <c r="G63" i="5" s="1"/>
  <c r="F51" i="5"/>
  <c r="G51" i="5" s="1"/>
  <c r="F50" i="5"/>
  <c r="G50" i="5" s="1"/>
  <c r="F64" i="5"/>
  <c r="G64" i="5" s="1"/>
  <c r="F58" i="5"/>
  <c r="G58" i="5" s="1"/>
  <c r="F57" i="5"/>
  <c r="G57" i="5" s="1"/>
  <c r="F29" i="5"/>
  <c r="G29" i="5" s="1"/>
  <c r="F41" i="5"/>
  <c r="G41" i="5" s="1"/>
  <c r="F34" i="5"/>
  <c r="G34" i="5" s="1"/>
  <c r="F33" i="5"/>
  <c r="G33" i="5" s="1"/>
  <c r="F42" i="5"/>
  <c r="G42" i="5" s="1"/>
  <c r="F35" i="5"/>
  <c r="G35" i="5" s="1"/>
  <c r="F27" i="5"/>
  <c r="G27" i="5" s="1"/>
  <c r="F40" i="5"/>
  <c r="G40" i="5" s="1"/>
  <c r="F36" i="5"/>
  <c r="G36" i="5" s="1"/>
  <c r="F31" i="5"/>
  <c r="G31" i="5" s="1"/>
  <c r="F32" i="5"/>
  <c r="G32" i="5" s="1"/>
  <c r="F45" i="5"/>
  <c r="G45" i="5" s="1"/>
  <c r="F30" i="5"/>
  <c r="G30" i="5" s="1"/>
  <c r="F37" i="5"/>
  <c r="G37" i="5" s="1"/>
  <c r="F39" i="5"/>
  <c r="G39" i="5" s="1"/>
  <c r="F43" i="5"/>
  <c r="G43" i="5" s="1"/>
  <c r="F44" i="5"/>
  <c r="G44" i="5" s="1"/>
  <c r="F38" i="5"/>
  <c r="G38" i="5" s="1"/>
  <c r="F24" i="5"/>
  <c r="G24" i="5" s="1"/>
  <c r="F25" i="5"/>
  <c r="G25" i="5" s="1"/>
  <c r="F26" i="5"/>
  <c r="G26" i="5" s="1"/>
  <c r="F23" i="5"/>
  <c r="G23" i="5" s="1"/>
  <c r="F21" i="5"/>
  <c r="G21" i="5" s="1"/>
  <c r="F22" i="5"/>
  <c r="G22" i="5" s="1"/>
  <c r="F20" i="5"/>
  <c r="G20" i="5" s="1"/>
  <c r="F19" i="5"/>
  <c r="G19" i="5" s="1"/>
  <c r="F17" i="5"/>
  <c r="G17" i="5" s="1"/>
  <c r="F18" i="5"/>
  <c r="G18" i="5" s="1"/>
  <c r="F16" i="5"/>
  <c r="G16" i="5" s="1"/>
  <c r="F15" i="5"/>
  <c r="G15" i="5" s="1"/>
  <c r="I10" i="5"/>
  <c r="I11" i="5"/>
  <c r="I8" i="5"/>
  <c r="I12" i="5"/>
  <c r="I9" i="5"/>
  <c r="I7" i="5"/>
  <c r="F12" i="5"/>
  <c r="G12" i="5" s="1"/>
  <c r="H13" i="5"/>
  <c r="H11" i="5"/>
  <c r="H12" i="5"/>
  <c r="H14" i="5"/>
  <c r="F14" i="5"/>
  <c r="G14" i="5" s="1"/>
  <c r="F13" i="5"/>
  <c r="G13" i="5" s="1"/>
  <c r="F11" i="5"/>
  <c r="G11" i="5" s="1"/>
  <c r="F7" i="5"/>
  <c r="F10" i="5"/>
  <c r="F9" i="5"/>
  <c r="F8" i="5"/>
  <c r="F6" i="5"/>
  <c r="G6" i="5" s="1"/>
  <c r="E6" i="5"/>
  <c r="H7" i="5"/>
  <c r="H8" i="5"/>
  <c r="H9" i="5"/>
  <c r="H10" i="5"/>
  <c r="B56" i="4"/>
  <c r="B57" i="4" s="1"/>
  <c r="B58" i="4" s="1"/>
  <c r="B59" i="4" s="1"/>
  <c r="L7" i="1"/>
  <c r="E20" i="4" l="1"/>
  <c r="F20" i="4"/>
  <c r="G7" i="5"/>
  <c r="G8" i="5"/>
  <c r="G9" i="5"/>
  <c r="G10" i="5"/>
  <c r="B60" i="4"/>
  <c r="B61" i="4" s="1"/>
  <c r="B62" i="4" s="1"/>
  <c r="B63" i="4" s="1"/>
  <c r="E21" i="4" l="1"/>
  <c r="F21" i="4"/>
  <c r="B64" i="4"/>
  <c r="B65" i="4" s="1"/>
  <c r="B66" i="4" s="1"/>
  <c r="B67" i="4" s="1"/>
  <c r="E22" i="4" l="1"/>
  <c r="F22" i="4"/>
  <c r="B68" i="4"/>
  <c r="B69" i="4" s="1"/>
  <c r="B70" i="4" s="1"/>
  <c r="B71" i="4" s="1"/>
  <c r="B72" i="4" s="1"/>
  <c r="B73" i="4" s="1"/>
  <c r="B74" i="4" s="1"/>
  <c r="B75" i="4" s="1"/>
  <c r="F23" i="4" l="1"/>
  <c r="E23" i="4"/>
  <c r="B76" i="4"/>
  <c r="B77" i="4" s="1"/>
  <c r="F24" i="4" l="1"/>
  <c r="E24" i="4"/>
  <c r="B78" i="4"/>
  <c r="B79" i="4" s="1"/>
  <c r="B80" i="4" s="1"/>
  <c r="B81" i="4" s="1"/>
  <c r="B82" i="4" s="1"/>
  <c r="B83" i="4" s="1"/>
  <c r="E25" i="4" l="1"/>
  <c r="F25" i="4"/>
  <c r="B84" i="4"/>
  <c r="B85" i="4" s="1"/>
  <c r="B86" i="4" s="1"/>
  <c r="F26" i="4" l="1"/>
  <c r="E26" i="4"/>
  <c r="F27" i="4" l="1"/>
  <c r="E27" i="4"/>
  <c r="F28" i="4" l="1"/>
  <c r="E28" i="4"/>
  <c r="E29" i="4" l="1"/>
  <c r="F29" i="4"/>
  <c r="E30" i="4" l="1"/>
  <c r="F30" i="4"/>
  <c r="F31" i="4" l="1"/>
  <c r="E31" i="4"/>
  <c r="F32" i="4" l="1"/>
  <c r="E32" i="4"/>
  <c r="F33" i="4" l="1"/>
  <c r="E33" i="4"/>
  <c r="C35" i="4" l="1"/>
  <c r="E34" i="4"/>
  <c r="F34" i="4"/>
  <c r="C36" i="4" l="1"/>
  <c r="E35" i="4"/>
  <c r="F35" i="4"/>
  <c r="C37" i="4" l="1"/>
  <c r="E36" i="4"/>
  <c r="F36" i="4"/>
  <c r="C38" i="4" l="1"/>
  <c r="E37" i="4"/>
  <c r="F37" i="4"/>
  <c r="E38" i="4" l="1"/>
  <c r="F38" i="4"/>
  <c r="C39" i="4"/>
  <c r="E39" i="4" l="1"/>
  <c r="C40" i="4"/>
  <c r="F39" i="4"/>
  <c r="C41" i="4" l="1"/>
  <c r="C42" i="4" s="1"/>
  <c r="C43" i="4" s="1"/>
  <c r="C44" i="4" s="1"/>
  <c r="C45" i="4" s="1"/>
  <c r="C46" i="4" s="1"/>
  <c r="C47" i="4" s="1"/>
  <c r="C48" i="4" s="1"/>
  <c r="C49" i="4" s="1"/>
  <c r="F40" i="4"/>
  <c r="E40" i="4"/>
  <c r="E41" i="4" l="1"/>
  <c r="F41" i="4"/>
  <c r="F42" i="4" l="1"/>
  <c r="E42" i="4"/>
  <c r="E43" i="4" l="1"/>
  <c r="F43" i="4"/>
  <c r="F44" i="4" l="1"/>
  <c r="E44" i="4"/>
  <c r="F45" i="4" l="1"/>
  <c r="E45" i="4"/>
  <c r="E46" i="4" l="1"/>
  <c r="F46" i="4"/>
  <c r="F47" i="4" l="1"/>
  <c r="E47" i="4"/>
  <c r="F48" i="4" l="1"/>
  <c r="E48" i="4"/>
  <c r="F49" i="4" l="1"/>
  <c r="E49" i="4"/>
  <c r="E50" i="4" l="1"/>
  <c r="F50" i="4"/>
  <c r="F51" i="4" l="1"/>
  <c r="E51" i="4"/>
  <c r="E52" i="4" l="1"/>
  <c r="F5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tc={3F632F91-120B-4288-A788-6998CFC973C8}</author>
  </authors>
  <commentList>
    <comment ref="D53" authorId="0" shapeId="0" xr:uid="{3F632F91-120B-4288-A788-6998CFC973C8}">
      <text>
        <t>[Threaded comment]
Your version of Excel allows you to read this threaded comment; however, any edits to it will get removed if the file is opened in a newer version of Excel. Learn more: https://go.microsoft.com/fwlink/?linkid=870924
Comment:
    60 discontinuations</t>
      </text>
    </comment>
  </commentList>
</comments>
</file>

<file path=xl/sharedStrings.xml><?xml version="1.0" encoding="utf-8"?>
<sst xmlns="http://schemas.openxmlformats.org/spreadsheetml/2006/main" count="429" uniqueCount="131">
  <si>
    <t>Price</t>
  </si>
  <si>
    <t>Shares</t>
  </si>
  <si>
    <t>MC</t>
  </si>
  <si>
    <t>Cash</t>
  </si>
  <si>
    <t>Debt</t>
  </si>
  <si>
    <t>EV</t>
  </si>
  <si>
    <t>PIC</t>
  </si>
  <si>
    <t>AD</t>
  </si>
  <si>
    <t>galinpepimut-S</t>
  </si>
  <si>
    <t>SLS009/GFH009</t>
  </si>
  <si>
    <t>Name</t>
  </si>
  <si>
    <t>Indication</t>
  </si>
  <si>
    <t>Mechanism</t>
  </si>
  <si>
    <t>AML</t>
  </si>
  <si>
    <t>WT1</t>
  </si>
  <si>
    <t>Main</t>
  </si>
  <si>
    <t>Brand</t>
  </si>
  <si>
    <t>Clinical Trials</t>
  </si>
  <si>
    <t>ML</t>
  </si>
  <si>
    <t>CEO</t>
  </si>
  <si>
    <t>Angelos Stergiou</t>
  </si>
  <si>
    <t>PE: OS</t>
  </si>
  <si>
    <t>Phase III open-label "REGAL" Galinpepimut-S vs. BAT for Maintenance n=127 AML CR2/​CRp2 - NCT04229979</t>
  </si>
  <si>
    <t>March 1 2024: 66 patients dead, 123 enrolled</t>
  </si>
  <si>
    <t>Interim Analysis of Phase 3 REGAL Study of Galinpepimut-S in Patients with Acute Myeloid Leukemia Expected in First Quarter 2024</t>
  </si>
  <si>
    <t xml:space="preserve"> Our independent data monitoring committee will meet again in Q3, and we currently expect the interim analysis for our Phase 3 REGAL study by the end of this year or early 2024.</t>
  </si>
  <si>
    <t>Approximately 125 -140 patients will enroll, in a 1:1 ratio, to provide at least 90% power under an assumed hazard ratio of 0.636, based on median OS of 8.0 m (BAT) and 12.6m (GPS)</t>
  </si>
  <si>
    <t xml:space="preserve"> Approximately 125 - 140 patients will enroll, in a 1:1 ratio, to provide at least 90% power under an assumed hazard ratio of 0.52, based on median OS of 8.0 m (BAT) and 15.4m (GPS).</t>
  </si>
  <si>
    <t xml:space="preserve">Approximately 125 -140 patients will enroll, in a 1:1 ratio, to provide at least 90% power under an assumed hazard ratio of 0.636, based on median OS of 8.0 m (BAT) and 12.6m (GPS). </t>
  </si>
  <si>
    <t>Abstract</t>
  </si>
  <si>
    <t>ASCO</t>
  </si>
  <si>
    <t>Ana Vidovic8 (8. University Clinical Center of Serbia, Belgrade, Serbia)</t>
  </si>
  <si>
    <t>Gary J. Schiller13 (13. Department of Microbiology, Immunology and Molecular Genetics, David Geffen School of Medicine at UCLA, Los Angeles, CA)</t>
  </si>
  <si>
    <t>Omer Hassan Jamy (1. University of Alabama at Birmingham, Birmingham, AL) 205-801-9034 call the bama girl fly her to NYC - she thicc (African American)</t>
  </si>
  <si>
    <t>Sharif S. Khan (Bon Secours St Francis Health System, Greenville, SC) 864-603-6300</t>
  </si>
  <si>
    <t>Phase 3 REGAL Study of Galinpepimut-S in Patients with Acute Myeloid Leukemia on Track for Interim Analysis by Late 2023/Early 2024</t>
  </si>
  <si>
    <t>Phase 3 REGAL study in acute myeloid leukemia (AML): Enrollment continued in the global Phase 3 REGAL registrational clinical trial in patients with AML who have achieved complete remission following second-line salvage therapy (CR2 patients). SELLAS announced in November that the REGAL clinical trial protocol and statistical analysis plan were revised to adjust for higher-than-expected overall survival observed in blinded pooled patient data</t>
  </si>
  <si>
    <t>60 events for interim analysis, 80 for final</t>
  </si>
  <si>
    <t>SAP modified 11/14/22</t>
  </si>
  <si>
    <t xml:space="preserve"> SELLAS expects an interim analysis for safety and futility in the fourth quarter of 2021.</t>
  </si>
  <si>
    <t>enrollment complete as of March 26 2024 - 1/8/2020 enrollment began</t>
  </si>
  <si>
    <t>https://ir.sellaslifesciences.com/news/News-Details/2014/SELLAS-Life-Sciences-Group-Signs-Exclusive-License-Agreement-for-Global-Rights-on-Development-and-Commercialization-of-WT1-Cancer-Vaccine-with-Memorial-Sloan-Kettering-Cancer-Center/default.aspx</t>
  </si>
  <si>
    <t>https://www.tesble.com/10.1038/sj.leu.2403186</t>
  </si>
  <si>
    <t>monotherapy CR</t>
  </si>
  <si>
    <t>Phase I Osaka protocol</t>
  </si>
  <si>
    <t>mixed results</t>
  </si>
  <si>
    <t>German group - low efficacy</t>
  </si>
  <si>
    <t>Phase I FIH</t>
  </si>
  <si>
    <t>https://watermark.silverchair.com/zh802810000171.pdf</t>
  </si>
  <si>
    <t>https://pubmed.ncbi.nlm.nih.gov/20631300/</t>
  </si>
  <si>
    <t>n=10 AML good results</t>
  </si>
  <si>
    <t>https://www.ncbi.nlm.nih.gov/pmc/articles/PMC4253125/pdf/bjh0164-0366.pdf</t>
  </si>
  <si>
    <t>British Group</t>
  </si>
  <si>
    <t>Phase I random underwhelming study</t>
  </si>
  <si>
    <t>https://pubmed.ncbi.nlm.nih.gov/25802083/</t>
  </si>
  <si>
    <t>https://www.ncbi.nlm.nih.gov/pmc/articles/PMC5649080/</t>
  </si>
  <si>
    <t>Phase II german DC vaccine n=30 AML</t>
  </si>
  <si>
    <t>WT4869 - Sumitomo WT vaccine JapicCTI-101374. MDS</t>
  </si>
  <si>
    <t>7.4mo PFS vs. 10.1mo for drug</t>
  </si>
  <si>
    <t>CR1 68 month OS</t>
  </si>
  <si>
    <t>CR1 either 56.1mo OS or 41.8mo OS</t>
  </si>
  <si>
    <t>Phase II MPM https://pubmed.ncbi.nlm.nih.gov/28972039/ - NCT01266083</t>
  </si>
  <si>
    <t>https://watermark.silverchair.com/advances014175.pdf</t>
  </si>
  <si>
    <t>https://onlinelibrary.wiley.com/doi/full/10.1111/bjh.14768?sid=nlm%3Apubmed</t>
  </si>
  <si>
    <t>Phase II London</t>
  </si>
  <si>
    <t>WT1 TCR gene therapy - https://pubmed.ncbi.nlm.nih.gov/31235963/</t>
  </si>
  <si>
    <t>RFS 100% at median 44 months</t>
  </si>
  <si>
    <t>DSP-7888 - ombipepmut-S</t>
  </si>
  <si>
    <t>Phase I NCT02498665</t>
  </si>
  <si>
    <t>WT2725 - Phase I https://pubmed.ncbi.nlm.nih.gov/34785698/ - Sumitomo</t>
  </si>
  <si>
    <t>Phase I/II MDS - https://pubmed.ncbi.nlm.nih.gov/34932235/</t>
  </si>
  <si>
    <t>Phase II n=100 https://www.ncbi.nlm.nih.gov/pmc/articles/PMC10123586/pdf/262_2023_Article_3432.pdf</t>
  </si>
  <si>
    <t>CR1</t>
  </si>
  <si>
    <t>OCV-501 n=9 AML - OCV-501, a tumor vaccine, is an HLA class II-binding polypeptide consisting of 16 amino acid residues derived from WT1 protein</t>
  </si>
  <si>
    <t xml:space="preserve">36% DFS vs. 34% for placebo p=0.74 Median DFS was 12.1 and 8.4 months in the OCV-501 and placebo groups, respectively, without a significant difference. </t>
  </si>
  <si>
    <t>Phase I  - https://www.ncbi.nlm.nih.gov/pmc/articles/PMC4617516/pdf/nihms725317.pdf</t>
  </si>
  <si>
    <t>n=14, mOS 608days - 20 months</t>
  </si>
  <si>
    <t xml:space="preserve">  CR2 subset mOS 495 days - 16.5 months</t>
  </si>
  <si>
    <t>Very low baseline blasts, possibly positive prognosis bias, not sure if this is clinical material</t>
  </si>
  <si>
    <t xml:space="preserve">  Patients screened for WT1 immune response?</t>
  </si>
  <si>
    <t>WT-1 is Required for Early Kidney Development. Kreidberg et al. Cell 1993.</t>
  </si>
  <si>
    <t>Tumor suppressor gene was known by 1993.</t>
  </si>
  <si>
    <t>Expressed in mesenchymal cells of the metanephros</t>
  </si>
  <si>
    <t>Germline WT1 mutations are associated with Wilms' tumor, and urogenital malformations.</t>
  </si>
  <si>
    <t>Heterozygous people have cryptorchidism, hypospadias (misplaced urethra)</t>
  </si>
  <si>
    <t>ZFD, four alternative splicing transcripts</t>
  </si>
  <si>
    <t>Alternative splicing and genomic structure of the Wilms tumorgene WT1. Haber et al. PNAS 1991</t>
  </si>
  <si>
    <t>11p13 locus, highly expressed in developing kidney. Suggested protein structure is 45-49kDa TF.</t>
  </si>
  <si>
    <t>WT1 as a new Prognostic Factor and a New Marker for the Detection of MRD in Acute Leukemia. Inoue et al. Blood 1994.</t>
  </si>
  <si>
    <t>Wilms Tumor requires inactivation of both alleles of WT1</t>
  </si>
  <si>
    <t>Transcription represser when bound to EGR-1 site, represses IGF2 gene</t>
  </si>
  <si>
    <t>Osaka group n=45 AML showing &lt;0.6 copies fared better than &gt;0.6</t>
  </si>
  <si>
    <t>Q324</t>
  </si>
  <si>
    <t>Background: Patients with relapse/refractory (r/r) AML have poor outcomes. Allogeneic stem cell transplantation (allo-SCT) can potentially cure some patients with r/r AML who achieve second CR (CR2). However, barriers to transplantation such as advanced age, poor functional status/comorbidities or lack of donor exist and not all patients are able to proceed to allo-SCT. Therefore, novel strategies to decrease relapse risk in these patients are urgently needed. A National Cancer Institute consensus study on prioritization of cancer antigens ranked the Wilms tumor 1 (WT1) protein as the top immunotherapy target in cancer. WT1 has emerged as an encouraging vaccine target in AML due to its overexpression in leukemic blasts. Maintenance therapy with Galinpepimut-S (GPS), a multivalent heteroclitic WT1 peptide vaccine, has shown promising activity in patients with AML by inducing a strong innate immune response (CD4+/CD8+) against the WT1 antigen and across a broad range of HLA types.
Methods:
This is an open-label, multicenter, randomized, phase III study of GPS vs. BAT in patients with AML in CR2/CRp2 (CR2 with incomplete platelet recovery). BAT may include observation, low dose cytarabine and hypomethylating agents +/- venetoclax. The primary endpoint of the study is overall survival (OS). Secondary endpoints include safety and tolerability of GPS and leukemia-free survival. Exploratory endpoints include WT1-specific immune response dynamics in blood and bone marrow. Approximately 125 - 140 patients will enroll, in a 1:1 ratio, to provide at least 90% power under an assumed hazard ratio of 0.52, based on median OS of 8.0 m (BAT) and 15.4m (GPS). Randomization will be stratified by duration of CR1 ( &lt; 12m vs. ≥12m), Cytogenetics (poor-risk vs. all other), CR2 vs. CRp2 and measurable residual disease (MRD) after CR2 (MRD- vs. MRD+). Inclusion criteria consists of willing subjects ≥18y with AML within 6m of achieving CR2/CRp2, ineligible for allo-SCT due to any reason, with ≥300 lymphocytes/ul and with adequate renal and hepatic function. Subjects with central nervous involvement, having received a live vaccine 30d prior to first dose of study drug, having a diagnosis of immunodeficiency, receiving ≥10mg daily of prednisone equivalent (or any other systemic immunosuppressant) for any indication 7d prior to first dose of study drug, hypersensitivity to study agent and with a history of solid organ transplant would be excluded. The clinical trial is actively enrolling, and the registry number is NCT04229979.</t>
  </si>
  <si>
    <t>Mathias Haenel14 (14. Klinikum Chemnitz gGmbH, Chemnitz, Germany)</t>
  </si>
  <si>
    <t>Agata Obara 15 (15. Swietokrzyskie Centrum Onkologii, Kielce, Poland)</t>
  </si>
  <si>
    <t>Tsung-Chih Chen 16 (16. Taichung Veterans General Hospital, Taichung City, Taiwan)</t>
  </si>
  <si>
    <t>Marcello Rotta 17 (17. Colorado Blood Cancer Institute, Denver,CO)</t>
  </si>
  <si>
    <t>Stavroula Giannouli 18 (18. Hippokration General Hospital, Athina, Greece)</t>
  </si>
  <si>
    <t>Aleksandar Savic 19 (19. Clinical Centre of Vojvodina, Novi Sad, Serbia)</t>
  </si>
  <si>
    <t>Hana Safah 12 (12. Tulane Cancer Center, New Orleans, LA)</t>
  </si>
  <si>
    <t>Daniel Egan 11 (11. University of Washington MedicalCenter, Seattle, WA)</t>
  </si>
  <si>
    <t>Teresa Bernal del Castillo 10 (10. Hospital Universitario Central de Asturias, Asturias, Spain)</t>
  </si>
  <si>
    <t>Pau Montesinos 9 (9. Hospital Universitario y PolitecnicoLa Fe, Valencia, Spain;)</t>
  </si>
  <si>
    <t>Ioanna Sakellari 7 (7. General Hospital of Thessaloniki “G. Papanikolaou, Pilea Chortiatis, Greece)</t>
  </si>
  <si>
    <t>Uwe Platzbecker 6 (6. University HospitalLeipzig, Leipzig, Germany)</t>
  </si>
  <si>
    <t>Mathilde Hunault-Berger 5 (5. CHU Angers, Angers, France)</t>
  </si>
  <si>
    <t>Benjamin Kent Tomlinson 4, ; 4. University Hospitals Seidman Cancer Center, Cleveland, OH</t>
  </si>
  <si>
    <t>Panagiotis Tsirigotis 3 (University General Hospital Attikon, Chaidari, Greece)</t>
  </si>
  <si>
    <t>TRIAL BEGINS</t>
  </si>
  <si>
    <t>Month</t>
  </si>
  <si>
    <t>Enrolled</t>
  </si>
  <si>
    <t>Deaths</t>
  </si>
  <si>
    <t>Notes</t>
  </si>
  <si>
    <t>Death</t>
  </si>
  <si>
    <t>BAT</t>
  </si>
  <si>
    <t>Galin</t>
  </si>
  <si>
    <t>Total</t>
  </si>
  <si>
    <t>Reaches targeted enrollment excluding China (20-25)</t>
  </si>
  <si>
    <t>Patient</t>
  </si>
  <si>
    <t>Date Enrolled</t>
  </si>
  <si>
    <t>Drug</t>
  </si>
  <si>
    <t>Placebo</t>
  </si>
  <si>
    <t>Random</t>
  </si>
  <si>
    <t>Assignment</t>
  </si>
  <si>
    <t>Died</t>
  </si>
  <si>
    <t>median OS</t>
  </si>
  <si>
    <t>PBO</t>
  </si>
  <si>
    <t>Total Deaths</t>
  </si>
  <si>
    <t>DRUG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</si>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</sst>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quotePrefix="1"/>
    <xf numFmtId="0" fontId="2" fillId="0" borderId="0" xfId="1"/>
    <xf numFmtId="0" fontId="1" fillId="0" borderId="0" xfId="0" applyFont="1"/>
    <xf numFmtId="0" fontId="3" fillId="0" borderId="0" xfId="0" applyFont="1"/>
    <xf numFmtId="0" fontId="2" fillId="0" borderId="1" xfId="1" applyBorder="1"/>
    <xf numFmtId="0" fontId="1" fillId="0" borderId="0" xfId="0" applyFont="1" applyAlignment="1">
      <alignment wrapText="1"/>
    </xf>
    <xf numFmtId="0" fontId="3" fillId="0" borderId="0" xfId="0" quotePrefix="1" applyFont="1"/>
    <xf numFmtId="0" fontId="3" fillId="2" borderId="0" xfId="0" applyFont="1" applyFill="1"/>
    <xf numFmtId="0" fontId="0" fillId="2" borderId="0" xfId="0" applyFill="1"/>
    <xf numFmtId="4" fontId="0" fillId="0" borderId="0" xfId="0" applyNumberFormat="1"/>
    <xf numFmtId="0" fontId="0" fillId="0" borderId="0" xfId="0" applyNumberFormat="1" applyAlignment="1"/>
    <xf numFmtId="17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left"/>
    </xf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C8E6BED-943B-41DD-B7F8-86E29F67A1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882453</xdr:colOff>
      <xdr:row>50</xdr:row>
      <xdr:rowOff>75539</xdr:rowOff>
    </xdr:from>
    <xdr:to>
      <xdr:col>4</xdr:col>
      <xdr:colOff>73091</xdr:colOff>
      <xdr:row>64</xdr:row>
      <xdr:rowOff>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38558-359B-9F9E-539E-2D9146B58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8209" y="9622222"/>
          <a:ext cx="4413126" cy="2260897"/>
        </a:xfrm>
        <a:prstGeom prst="rect">
          <a:avLst/>
        </a:prstGeom>
      </xdr:spPr>
    </xdr:pic>
    <xdr:clientData/>
  </xdr:twoCellAnchor>
  <xdr:twoCellAnchor editAs="oneCell">
    <xdr:from>
      <xdr:col>1</xdr:col>
      <xdr:colOff>794972</xdr:colOff>
      <xdr:row>106</xdr:row>
      <xdr:rowOff>25785</xdr:rowOff>
    </xdr:from>
    <xdr:to>
      <xdr:col>2</xdr:col>
      <xdr:colOff>2544338</xdr:colOff>
      <xdr:row>116</xdr:row>
      <xdr:rowOff>82068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81CC04-A28D-4D30-FA5D-1CEE5BD38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664" y="18191670"/>
          <a:ext cx="2609059" cy="1668206"/>
        </a:xfrm>
        <a:prstGeom prst="rect">
          <a:avLst/>
        </a:prstGeom>
      </xdr:spPr>
    </xdr:pic>
    <xdr:clientData/>
  </xdr:twoCellAnchor>
  <xdr:twoCellAnchor editAs="oneCell">
    <xdr:from>
      <xdr:col>3</xdr:col>
      <xdr:colOff>33184</xdr:colOff>
      <xdr:row>89</xdr:row>
      <xdr:rowOff>97691</xdr:rowOff>
    </xdr:from>
    <xdr:to>
      <xdr:col>13</xdr:col>
      <xdr:colOff>144118</xdr:colOff>
      <xdr:row>113</xdr:row>
      <xdr:rowOff>24910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2DA288-8BFC-7A2C-8C9C-B2CE6753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4415" y="15493999"/>
          <a:ext cx="6265549" cy="3825142"/>
        </a:xfrm>
        <a:prstGeom prst="rect">
          <a:avLst/>
        </a:prstGeom>
      </xdr:spPr>
    </xdr:pic>
    <xdr:clientData/>
  </xdr:twoCellAnchor>
  <xdr:twoCellAnchor editAs="oneCell">
    <xdr:from>
      <xdr:col>23</xdr:col>
      <xdr:colOff>123341</xdr:colOff>
      <xdr:row>88</xdr:row>
      <xdr:rowOff>0</xdr:rowOff>
    </xdr:from>
    <xdr:to>
      <xdr:col>44</xdr:col>
      <xdr:colOff>253808</xdr:colOff>
      <xdr:row>128</xdr:row>
      <xdr:rowOff>117231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49BC51-1F25-C3EC-BF3C-E5B04B3CB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02399" y="15152077"/>
          <a:ext cx="12593563" cy="6564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556462</xdr:colOff>
      <xdr:row>14</xdr:row>
      <xdr:rowOff>10026</xdr:rowOff>
    </xdr:from>
    <xdr:to>
      <xdr:col>11</xdr:col>
      <xdr:colOff>507711</xdr:colOff>
      <xdr:row>35</xdr:row>
      <xdr:rowOff>140829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68638-7092-91E7-486E-E05E82B9A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1975" y="2255921"/>
          <a:ext cx="2397670" cy="34996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D66DDA11-995E-4AAD-84EE-7885E10097C2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3" dT="2026-06-29T18:46:53.26" personId="{D66DDA11-995E-4AAD-84EE-7885E10097C2}" id="{3F632F91-120B-4288-A788-6998CFC973C8}">
    <text>60 discontinuations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B321-33CF-44A5-A39D-38EB3AAB44F5}">
  <dimension ref="B2:M12"/>
  <sheetViews>
    <sheetView zoomScale="145" zoomScaleNormal="145" workbookViewId="0">
      <selection activeCell="A2" sqref="A2"/>
    </sheetView>
  </sheetViews>
  <sheetFormatPr defaultColWidth="8.81640625" defaultRowHeight="12.5" x14ac:dyDescent="0.25"/>
  <cols>
    <col min="1" max="1" width="2.81640625" customWidth="1"/>
    <col min="2" max="2" width="18" customWidth="1"/>
    <col min="3" max="3" width="9.81640625" customWidth="1"/>
    <col min="4" max="4" width="11.453125" customWidth="1"/>
  </cols>
  <sheetData>
    <row r="2" spans="2:13" x14ac:dyDescent="0.25">
      <c r="B2" s="5" t="s">
        <v>10</v>
      </c>
      <c r="C2" s="6" t="s">
        <v>11</v>
      </c>
      <c r="D2" s="6" t="s">
        <v>12</v>
      </c>
      <c r="E2" s="6"/>
      <c r="F2" s="6"/>
      <c r="G2" s="6"/>
      <c r="H2" s="6"/>
      <c r="I2" s="7"/>
      <c r="K2" t="s">
        <v>0</v>
      </c>
      <c r="L2" s="21">
        <v>14.45</v>
      </c>
    </row>
    <row r="3" spans="2:13" x14ac:dyDescent="0.25">
      <c r="B3" s="16" t="s">
        <v>8</v>
      </c>
      <c r="C3" s="8" t="s">
        <v>13</v>
      </c>
      <c r="D3" s="8" t="s">
        <v>14</v>
      </c>
      <c r="E3" s="8"/>
      <c r="F3" s="8"/>
      <c r="G3" s="8"/>
      <c r="H3" s="8"/>
      <c r="I3" s="9"/>
      <c r="K3" t="s">
        <v>1</v>
      </c>
      <c r="L3" s="1">
        <v>70.381979000000001</v>
      </c>
      <c r="M3" s="2" t="s">
        <v>92</v>
      </c>
    </row>
    <row r="4" spans="2:13" x14ac:dyDescent="0.25">
      <c r="B4" s="3" t="s">
        <v>9</v>
      </c>
      <c r="C4" s="8"/>
      <c r="D4" s="8"/>
      <c r="E4" s="8"/>
      <c r="F4" s="8"/>
      <c r="G4" s="8"/>
      <c r="H4" s="8"/>
      <c r="I4" s="9"/>
      <c r="K4" t="s">
        <v>2</v>
      </c>
      <c r="L4" s="1">
        <f>+L2*L3</f>
        <v>1017.01959655</v>
      </c>
    </row>
    <row r="5" spans="2:13" x14ac:dyDescent="0.25">
      <c r="B5" s="3"/>
      <c r="C5" s="8"/>
      <c r="D5" s="8"/>
      <c r="E5" s="8"/>
      <c r="F5" s="8"/>
      <c r="G5" s="8"/>
      <c r="H5" s="8"/>
      <c r="I5" s="9"/>
      <c r="K5" t="s">
        <v>3</v>
      </c>
      <c r="L5" s="1">
        <v>21.030999999999999</v>
      </c>
      <c r="M5" s="2" t="s">
        <v>92</v>
      </c>
    </row>
    <row r="6" spans="2:13" x14ac:dyDescent="0.25">
      <c r="B6" s="3"/>
      <c r="C6" s="8"/>
      <c r="D6" s="8"/>
      <c r="E6" s="8"/>
      <c r="F6" s="8"/>
      <c r="G6" s="8"/>
      <c r="H6" s="8"/>
      <c r="I6" s="9"/>
      <c r="K6" t="s">
        <v>4</v>
      </c>
      <c r="L6" s="1">
        <f>4.547+5.49</f>
        <v>10.036999999999999</v>
      </c>
      <c r="M6" s="2" t="s">
        <v>92</v>
      </c>
    </row>
    <row r="7" spans="2:13" x14ac:dyDescent="0.25">
      <c r="B7" s="4"/>
      <c r="C7" s="10"/>
      <c r="D7" s="10"/>
      <c r="E7" s="10"/>
      <c r="F7" s="10"/>
      <c r="G7" s="10"/>
      <c r="H7" s="10"/>
      <c r="I7" s="11"/>
      <c r="K7" t="s">
        <v>5</v>
      </c>
      <c r="L7" s="1">
        <f>+L4-L5+L6</f>
        <v>1006.02559655</v>
      </c>
    </row>
    <row r="9" spans="2:13" x14ac:dyDescent="0.25">
      <c r="K9" t="s">
        <v>6</v>
      </c>
      <c r="L9" s="1">
        <v>237.18799999999999</v>
      </c>
    </row>
    <row r="10" spans="2:13" x14ac:dyDescent="0.25">
      <c r="K10" t="s">
        <v>7</v>
      </c>
      <c r="L10" s="1">
        <v>-234.28</v>
      </c>
    </row>
    <row r="12" spans="2:13" x14ac:dyDescent="0.25">
      <c r="K12" t="s">
        <v>19</v>
      </c>
      <c r="L12" s="12" t="s">
        <v>20</v>
      </c>
    </row>
  </sheetData>
  <hyperlinks>
    <hyperlink ref="B3" location="'galinpepimut-S'!A1" display="galinpepimut-S" xr:uid="{039A6668-CE18-4156-B5C8-26680AEA73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6609-9B4D-4745-B53C-AB66BF7290FB}">
  <dimension ref="A1:C135"/>
  <sheetViews>
    <sheetView tabSelected="1" topLeftCell="A110" zoomScale="175" zoomScaleNormal="175" workbookViewId="0">
      <selection activeCell="C132" sqref="C132"/>
    </sheetView>
  </sheetViews>
  <sheetFormatPr defaultColWidth="8.81640625" defaultRowHeight="12.5" x14ac:dyDescent="0.25"/>
  <cols>
    <col min="1" max="1" width="5" bestFit="1" customWidth="1"/>
    <col min="2" max="2" width="12.26953125" bestFit="1" customWidth="1"/>
    <col min="3" max="3" width="60.7265625" customWidth="1"/>
  </cols>
  <sheetData>
    <row r="1" spans="1:3" x14ac:dyDescent="0.25">
      <c r="A1" s="13" t="s">
        <v>15</v>
      </c>
    </row>
    <row r="2" spans="1:3" x14ac:dyDescent="0.25">
      <c r="B2" t="s">
        <v>16</v>
      </c>
      <c r="C2" s="12" t="s">
        <v>8</v>
      </c>
    </row>
    <row r="3" spans="1:3" x14ac:dyDescent="0.25">
      <c r="B3" t="s">
        <v>11</v>
      </c>
      <c r="C3" s="12" t="s">
        <v>18</v>
      </c>
    </row>
    <row r="4" spans="1:3" x14ac:dyDescent="0.25">
      <c r="B4" t="s">
        <v>17</v>
      </c>
    </row>
    <row r="5" spans="1:3" ht="13" x14ac:dyDescent="0.3">
      <c r="C5" s="15" t="s">
        <v>22</v>
      </c>
    </row>
    <row r="6" spans="1:3" x14ac:dyDescent="0.25">
      <c r="C6" t="s">
        <v>37</v>
      </c>
    </row>
    <row r="7" spans="1:3" ht="13" x14ac:dyDescent="0.3">
      <c r="C7" s="14" t="s">
        <v>40</v>
      </c>
    </row>
    <row r="8" spans="1:3" x14ac:dyDescent="0.25">
      <c r="C8" t="s">
        <v>21</v>
      </c>
    </row>
    <row r="9" spans="1:3" x14ac:dyDescent="0.25">
      <c r="C9" t="s">
        <v>23</v>
      </c>
    </row>
    <row r="11" spans="1:3" x14ac:dyDescent="0.25">
      <c r="C11" t="s">
        <v>24</v>
      </c>
    </row>
    <row r="12" spans="1:3" x14ac:dyDescent="0.25">
      <c r="C12" t="s">
        <v>25</v>
      </c>
    </row>
    <row r="13" spans="1:3" x14ac:dyDescent="0.25">
      <c r="C13" t="s">
        <v>26</v>
      </c>
    </row>
    <row r="14" spans="1:3" x14ac:dyDescent="0.25">
      <c r="C14" s="22" t="s">
        <v>93</v>
      </c>
    </row>
    <row r="16" spans="1:3" ht="39" x14ac:dyDescent="0.3">
      <c r="B16" t="s">
        <v>29</v>
      </c>
      <c r="C16" s="17" t="s">
        <v>27</v>
      </c>
    </row>
    <row r="17" spans="2:3" ht="39" x14ac:dyDescent="0.3">
      <c r="B17" t="s">
        <v>30</v>
      </c>
      <c r="C17" s="17" t="s">
        <v>28</v>
      </c>
    </row>
    <row r="19" spans="2:3" x14ac:dyDescent="0.25">
      <c r="C19" t="s">
        <v>33</v>
      </c>
    </row>
    <row r="20" spans="2:3" x14ac:dyDescent="0.25">
      <c r="C20" t="s">
        <v>34</v>
      </c>
    </row>
    <row r="21" spans="2:3" ht="13" x14ac:dyDescent="0.3">
      <c r="C21" s="14" t="s">
        <v>108</v>
      </c>
    </row>
    <row r="22" spans="2:3" x14ac:dyDescent="0.25">
      <c r="C22" t="s">
        <v>107</v>
      </c>
    </row>
    <row r="23" spans="2:3" x14ac:dyDescent="0.25">
      <c r="C23" t="s">
        <v>106</v>
      </c>
    </row>
    <row r="24" spans="2:3" x14ac:dyDescent="0.25">
      <c r="C24" t="s">
        <v>105</v>
      </c>
    </row>
    <row r="25" spans="2:3" ht="13" x14ac:dyDescent="0.3">
      <c r="C25" s="14" t="s">
        <v>104</v>
      </c>
    </row>
    <row r="26" spans="2:3" x14ac:dyDescent="0.25">
      <c r="C26" t="s">
        <v>31</v>
      </c>
    </row>
    <row r="27" spans="2:3" x14ac:dyDescent="0.25">
      <c r="C27" t="s">
        <v>103</v>
      </c>
    </row>
    <row r="28" spans="2:3" x14ac:dyDescent="0.25">
      <c r="C28" t="s">
        <v>102</v>
      </c>
    </row>
    <row r="29" spans="2:3" x14ac:dyDescent="0.25">
      <c r="C29" t="s">
        <v>101</v>
      </c>
    </row>
    <row r="30" spans="2:3" x14ac:dyDescent="0.25">
      <c r="C30" t="s">
        <v>100</v>
      </c>
    </row>
    <row r="31" spans="2:3" x14ac:dyDescent="0.25">
      <c r="C31" t="s">
        <v>32</v>
      </c>
    </row>
    <row r="32" spans="2:3" x14ac:dyDescent="0.25">
      <c r="C32" t="s">
        <v>94</v>
      </c>
    </row>
    <row r="33" spans="3:3" x14ac:dyDescent="0.25">
      <c r="C33" t="s">
        <v>95</v>
      </c>
    </row>
    <row r="34" spans="3:3" x14ac:dyDescent="0.25">
      <c r="C34" t="s">
        <v>96</v>
      </c>
    </row>
    <row r="35" spans="3:3" x14ac:dyDescent="0.25">
      <c r="C35" t="s">
        <v>97</v>
      </c>
    </row>
    <row r="36" spans="3:3" ht="13" x14ac:dyDescent="0.3">
      <c r="C36" s="14" t="s">
        <v>98</v>
      </c>
    </row>
    <row r="37" spans="3:3" x14ac:dyDescent="0.25">
      <c r="C37" t="s">
        <v>99</v>
      </c>
    </row>
    <row r="39" spans="3:3" x14ac:dyDescent="0.25">
      <c r="C39" t="s">
        <v>35</v>
      </c>
    </row>
    <row r="40" spans="3:3" x14ac:dyDescent="0.25">
      <c r="C40" t="s">
        <v>39</v>
      </c>
    </row>
    <row r="41" spans="3:3" x14ac:dyDescent="0.25">
      <c r="C41" t="s">
        <v>36</v>
      </c>
    </row>
    <row r="43" spans="3:3" ht="13" x14ac:dyDescent="0.3">
      <c r="C43" s="15" t="s">
        <v>38</v>
      </c>
    </row>
    <row r="44" spans="3:3" x14ac:dyDescent="0.25">
      <c r="C44" t="s">
        <v>41</v>
      </c>
    </row>
    <row r="46" spans="3:3" ht="13" x14ac:dyDescent="0.3">
      <c r="C46" s="15" t="s">
        <v>42</v>
      </c>
    </row>
    <row r="47" spans="3:3" x14ac:dyDescent="0.25">
      <c r="C47" t="s">
        <v>43</v>
      </c>
    </row>
    <row r="50" spans="3:3" ht="13" x14ac:dyDescent="0.3">
      <c r="C50" s="15" t="s">
        <v>44</v>
      </c>
    </row>
    <row r="51" spans="3:3" x14ac:dyDescent="0.25">
      <c r="C51" t="s">
        <v>45</v>
      </c>
    </row>
    <row r="66" spans="3:3" ht="13" x14ac:dyDescent="0.3">
      <c r="C66" s="15" t="s">
        <v>46</v>
      </c>
    </row>
    <row r="70" spans="3:3" ht="13" x14ac:dyDescent="0.3">
      <c r="C70" s="15" t="s">
        <v>47</v>
      </c>
    </row>
    <row r="71" spans="3:3" x14ac:dyDescent="0.25">
      <c r="C71" t="s">
        <v>48</v>
      </c>
    </row>
    <row r="74" spans="3:3" ht="13" x14ac:dyDescent="0.3">
      <c r="C74" s="15" t="s">
        <v>50</v>
      </c>
    </row>
    <row r="75" spans="3:3" x14ac:dyDescent="0.25">
      <c r="C75" t="s">
        <v>49</v>
      </c>
    </row>
    <row r="78" spans="3:3" ht="13" x14ac:dyDescent="0.3">
      <c r="C78" s="15" t="s">
        <v>52</v>
      </c>
    </row>
    <row r="79" spans="3:3" x14ac:dyDescent="0.25">
      <c r="C79" t="s">
        <v>51</v>
      </c>
    </row>
    <row r="83" spans="3:3" x14ac:dyDescent="0.25">
      <c r="C83" t="s">
        <v>53</v>
      </c>
    </row>
    <row r="84" spans="3:3" x14ac:dyDescent="0.25">
      <c r="C84" t="s">
        <v>54</v>
      </c>
    </row>
    <row r="87" spans="3:3" ht="13" x14ac:dyDescent="0.3">
      <c r="C87" s="19" t="s">
        <v>73</v>
      </c>
    </row>
    <row r="88" spans="3:3" ht="13" x14ac:dyDescent="0.3">
      <c r="C88" s="19" t="s">
        <v>71</v>
      </c>
    </row>
    <row r="89" spans="3:3" x14ac:dyDescent="0.25">
      <c r="C89" s="20" t="s">
        <v>74</v>
      </c>
    </row>
    <row r="90" spans="3:3" x14ac:dyDescent="0.25">
      <c r="C90" s="20" t="s">
        <v>72</v>
      </c>
    </row>
    <row r="92" spans="3:3" ht="13" x14ac:dyDescent="0.3">
      <c r="C92" s="15" t="s">
        <v>56</v>
      </c>
    </row>
    <row r="93" spans="3:3" x14ac:dyDescent="0.25">
      <c r="C93" t="s">
        <v>55</v>
      </c>
    </row>
    <row r="94" spans="3:3" ht="13" x14ac:dyDescent="0.3">
      <c r="C94" s="14" t="s">
        <v>60</v>
      </c>
    </row>
    <row r="97" spans="3:3" ht="13" x14ac:dyDescent="0.3">
      <c r="C97" s="15" t="s">
        <v>57</v>
      </c>
    </row>
    <row r="99" spans="3:3" ht="13" x14ac:dyDescent="0.3">
      <c r="C99" s="15" t="s">
        <v>61</v>
      </c>
    </row>
    <row r="100" spans="3:3" x14ac:dyDescent="0.25">
      <c r="C100" t="s">
        <v>58</v>
      </c>
    </row>
    <row r="101" spans="3:3" ht="13" x14ac:dyDescent="0.3">
      <c r="C101" s="14" t="s">
        <v>59</v>
      </c>
    </row>
    <row r="102" spans="3:3" x14ac:dyDescent="0.25">
      <c r="C102" t="s">
        <v>62</v>
      </c>
    </row>
    <row r="105" spans="3:3" ht="13" x14ac:dyDescent="0.3">
      <c r="C105" s="15" t="s">
        <v>64</v>
      </c>
    </row>
    <row r="106" spans="3:3" x14ac:dyDescent="0.25">
      <c r="C106" t="s">
        <v>63</v>
      </c>
    </row>
    <row r="118" spans="3:3" ht="13" x14ac:dyDescent="0.3">
      <c r="C118" s="15" t="s">
        <v>65</v>
      </c>
    </row>
    <row r="119" spans="3:3" x14ac:dyDescent="0.25">
      <c r="C119" t="s">
        <v>66</v>
      </c>
    </row>
    <row r="121" spans="3:3" ht="13" x14ac:dyDescent="0.3">
      <c r="C121" s="18" t="s">
        <v>67</v>
      </c>
    </row>
    <row r="122" spans="3:3" x14ac:dyDescent="0.25">
      <c r="C122" t="s">
        <v>68</v>
      </c>
    </row>
    <row r="123" spans="3:3" x14ac:dyDescent="0.25">
      <c r="C123" t="s">
        <v>70</v>
      </c>
    </row>
    <row r="127" spans="3:3" ht="13" x14ac:dyDescent="0.3">
      <c r="C127" s="15" t="s">
        <v>69</v>
      </c>
    </row>
    <row r="131" spans="3:3" ht="13" x14ac:dyDescent="0.3">
      <c r="C131" s="15" t="s">
        <v>75</v>
      </c>
    </row>
    <row r="132" spans="3:3" x14ac:dyDescent="0.25">
      <c r="C132" t="s">
        <v>76</v>
      </c>
    </row>
    <row r="133" spans="3:3" x14ac:dyDescent="0.25">
      <c r="C133" t="s">
        <v>77</v>
      </c>
    </row>
    <row r="134" spans="3:3" x14ac:dyDescent="0.25">
      <c r="C134" t="s">
        <v>78</v>
      </c>
    </row>
    <row r="135" spans="3:3" x14ac:dyDescent="0.25">
      <c r="C135" t="s">
        <v>79</v>
      </c>
    </row>
  </sheetData>
  <hyperlinks>
    <hyperlink ref="A1" location="Main!A1" display="Main" xr:uid="{80F5DC9B-0F92-4E40-ABBC-AB092E63CCE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A489-6D3C-4685-8DF6-5E8F3730E629}">
  <dimension ref="A1:C16"/>
  <sheetViews>
    <sheetView zoomScale="190" zoomScaleNormal="190" workbookViewId="0">
      <selection activeCell="A2" sqref="A2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t="s">
        <v>15</v>
      </c>
    </row>
    <row r="2" spans="1:3" ht="13" x14ac:dyDescent="0.3">
      <c r="B2" s="15" t="s">
        <v>80</v>
      </c>
    </row>
    <row r="3" spans="1:3" x14ac:dyDescent="0.25">
      <c r="B3" t="s">
        <v>81</v>
      </c>
    </row>
    <row r="4" spans="1:3" x14ac:dyDescent="0.25">
      <c r="B4" t="s">
        <v>82</v>
      </c>
    </row>
    <row r="5" spans="1:3" x14ac:dyDescent="0.25">
      <c r="B5" t="s">
        <v>83</v>
      </c>
    </row>
    <row r="6" spans="1:3" x14ac:dyDescent="0.25">
      <c r="C6" t="s">
        <v>84</v>
      </c>
    </row>
    <row r="7" spans="1:3" x14ac:dyDescent="0.25">
      <c r="B7" t="s">
        <v>85</v>
      </c>
    </row>
    <row r="10" spans="1:3" ht="13" x14ac:dyDescent="0.3">
      <c r="B10" s="15" t="s">
        <v>86</v>
      </c>
    </row>
    <row r="11" spans="1:3" x14ac:dyDescent="0.25">
      <c r="B11" t="s">
        <v>87</v>
      </c>
    </row>
    <row r="13" spans="1:3" ht="13" x14ac:dyDescent="0.3">
      <c r="B13" s="15" t="s">
        <v>88</v>
      </c>
    </row>
    <row r="14" spans="1:3" x14ac:dyDescent="0.25">
      <c r="B14" t="s">
        <v>89</v>
      </c>
    </row>
    <row r="15" spans="1:3" x14ac:dyDescent="0.25">
      <c r="B15" t="s">
        <v>90</v>
      </c>
    </row>
    <row r="16" spans="1:3" x14ac:dyDescent="0.25">
      <c r="B16" t="s">
        <v>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ECE9-45C0-411F-B662-72374B584F2A}">
  <dimension ref="A1:J233"/>
  <sheetViews>
    <sheetView zoomScale="145" zoomScaleNormal="145" workbookViewId="0">
      <pane xSplit="2" ySplit="2" topLeftCell="C56" activePane="bottomRight" state="frozen"/>
      <selection pane="topRight" activeCell="C1" sqref="C1"/>
      <selection pane="bottomLeft" activeCell="A3" sqref="A3"/>
      <selection pane="bottomRight" activeCell="C62" sqref="C62"/>
    </sheetView>
  </sheetViews>
  <sheetFormatPr defaultRowHeight="12.5" x14ac:dyDescent="0.25"/>
  <cols>
    <col min="1" max="1" width="4.6328125" bestFit="1" customWidth="1"/>
    <col min="2" max="9" width="8.7265625" style="24"/>
  </cols>
  <sheetData>
    <row r="1" spans="1:10" x14ac:dyDescent="0.25">
      <c r="A1" t="s">
        <v>15</v>
      </c>
      <c r="C1" s="26" t="s">
        <v>117</v>
      </c>
      <c r="D1" s="26"/>
      <c r="E1" s="26" t="s">
        <v>111</v>
      </c>
      <c r="F1" s="26"/>
      <c r="G1" s="26" t="s">
        <v>114</v>
      </c>
      <c r="H1" s="26"/>
    </row>
    <row r="2" spans="1:10" x14ac:dyDescent="0.25">
      <c r="B2" s="24" t="s">
        <v>110</v>
      </c>
      <c r="C2" s="24" t="s">
        <v>111</v>
      </c>
      <c r="D2" s="24" t="s">
        <v>112</v>
      </c>
      <c r="E2" s="24" t="s">
        <v>115</v>
      </c>
      <c r="F2" s="24" t="s">
        <v>116</v>
      </c>
      <c r="G2" s="24" t="s">
        <v>115</v>
      </c>
      <c r="H2" s="24" t="s">
        <v>116</v>
      </c>
      <c r="J2" t="s">
        <v>113</v>
      </c>
    </row>
    <row r="3" spans="1:10" x14ac:dyDescent="0.25">
      <c r="B3" s="25">
        <v>43831</v>
      </c>
      <c r="C3" s="24">
        <v>1</v>
      </c>
      <c r="J3" t="s">
        <v>109</v>
      </c>
    </row>
    <row r="4" spans="1:10" x14ac:dyDescent="0.25">
      <c r="B4" s="25">
        <f>B3+31</f>
        <v>43862</v>
      </c>
    </row>
    <row r="5" spans="1:10" x14ac:dyDescent="0.25">
      <c r="B5" s="25">
        <f>B4+31</f>
        <v>43893</v>
      </c>
    </row>
    <row r="6" spans="1:10" x14ac:dyDescent="0.25">
      <c r="B6" s="25">
        <f t="shared" ref="B6:B69" si="0">B5+31</f>
        <v>43924</v>
      </c>
    </row>
    <row r="7" spans="1:10" x14ac:dyDescent="0.25">
      <c r="B7" s="25">
        <f t="shared" si="0"/>
        <v>43955</v>
      </c>
    </row>
    <row r="8" spans="1:10" x14ac:dyDescent="0.25">
      <c r="B8" s="25">
        <f t="shared" si="0"/>
        <v>43986</v>
      </c>
    </row>
    <row r="9" spans="1:10" x14ac:dyDescent="0.25">
      <c r="B9" s="25">
        <f t="shared" si="0"/>
        <v>44017</v>
      </c>
    </row>
    <row r="10" spans="1:10" x14ac:dyDescent="0.25">
      <c r="B10" s="25">
        <f t="shared" si="0"/>
        <v>44048</v>
      </c>
    </row>
    <row r="11" spans="1:10" x14ac:dyDescent="0.25">
      <c r="B11" s="25">
        <f t="shared" si="0"/>
        <v>44079</v>
      </c>
    </row>
    <row r="12" spans="1:10" x14ac:dyDescent="0.25">
      <c r="B12" s="25">
        <f t="shared" si="0"/>
        <v>44110</v>
      </c>
    </row>
    <row r="13" spans="1:10" x14ac:dyDescent="0.25">
      <c r="B13" s="25">
        <f t="shared" si="0"/>
        <v>44141</v>
      </c>
    </row>
    <row r="14" spans="1:10" x14ac:dyDescent="0.25">
      <c r="B14" s="25">
        <f t="shared" si="0"/>
        <v>44172</v>
      </c>
    </row>
    <row r="15" spans="1:10" x14ac:dyDescent="0.25">
      <c r="B15" s="25">
        <f t="shared" si="0"/>
        <v>44203</v>
      </c>
      <c r="C15" s="24">
        <v>1</v>
      </c>
      <c r="E15" s="27">
        <f>+C15</f>
        <v>1</v>
      </c>
      <c r="F15" s="27">
        <v>0</v>
      </c>
    </row>
    <row r="16" spans="1:10" x14ac:dyDescent="0.25">
      <c r="B16" s="25">
        <f t="shared" si="0"/>
        <v>44234</v>
      </c>
      <c r="C16" s="24">
        <v>1</v>
      </c>
      <c r="E16" s="27">
        <f>+C16/2</f>
        <v>0.5</v>
      </c>
      <c r="F16" s="27">
        <f>+C16/2</f>
        <v>0.5</v>
      </c>
    </row>
    <row r="17" spans="2:6" x14ac:dyDescent="0.25">
      <c r="B17" s="25">
        <f t="shared" si="0"/>
        <v>44265</v>
      </c>
      <c r="C17" s="24">
        <v>2</v>
      </c>
      <c r="E17" s="27">
        <f t="shared" ref="E17:E32" si="1">+C17/2</f>
        <v>1</v>
      </c>
      <c r="F17" s="27">
        <f t="shared" ref="F17:F32" si="2">+C17/2</f>
        <v>1</v>
      </c>
    </row>
    <row r="18" spans="2:6" x14ac:dyDescent="0.25">
      <c r="B18" s="25">
        <f t="shared" si="0"/>
        <v>44296</v>
      </c>
      <c r="C18" s="24">
        <v>2</v>
      </c>
      <c r="E18" s="27">
        <f t="shared" si="1"/>
        <v>1</v>
      </c>
      <c r="F18" s="27">
        <f t="shared" si="2"/>
        <v>1</v>
      </c>
    </row>
    <row r="19" spans="2:6" x14ac:dyDescent="0.25">
      <c r="B19" s="25">
        <f t="shared" si="0"/>
        <v>44327</v>
      </c>
      <c r="C19" s="24">
        <v>3</v>
      </c>
      <c r="E19" s="27">
        <f t="shared" si="1"/>
        <v>1.5</v>
      </c>
      <c r="F19" s="27">
        <f t="shared" si="2"/>
        <v>1.5</v>
      </c>
    </row>
    <row r="20" spans="2:6" x14ac:dyDescent="0.25">
      <c r="B20" s="25">
        <f t="shared" si="0"/>
        <v>44358</v>
      </c>
      <c r="C20" s="24">
        <v>3</v>
      </c>
      <c r="E20" s="27">
        <f t="shared" si="1"/>
        <v>1.5</v>
      </c>
      <c r="F20" s="27">
        <f t="shared" si="2"/>
        <v>1.5</v>
      </c>
    </row>
    <row r="21" spans="2:6" x14ac:dyDescent="0.25">
      <c r="B21" s="25">
        <f t="shared" si="0"/>
        <v>44389</v>
      </c>
      <c r="C21" s="24">
        <v>4</v>
      </c>
      <c r="E21" s="27">
        <f t="shared" si="1"/>
        <v>2</v>
      </c>
      <c r="F21" s="27">
        <f t="shared" si="2"/>
        <v>2</v>
      </c>
    </row>
    <row r="22" spans="2:6" x14ac:dyDescent="0.25">
      <c r="B22" s="25">
        <f t="shared" si="0"/>
        <v>44420</v>
      </c>
      <c r="C22" s="24">
        <v>5</v>
      </c>
      <c r="E22" s="27">
        <f t="shared" si="1"/>
        <v>2.5</v>
      </c>
      <c r="F22" s="27">
        <f t="shared" si="2"/>
        <v>2.5</v>
      </c>
    </row>
    <row r="23" spans="2:6" x14ac:dyDescent="0.25">
      <c r="B23" s="25">
        <f t="shared" si="0"/>
        <v>44451</v>
      </c>
      <c r="C23" s="24">
        <v>6</v>
      </c>
      <c r="E23" s="27">
        <f t="shared" si="1"/>
        <v>3</v>
      </c>
      <c r="F23" s="27">
        <f t="shared" si="2"/>
        <v>3</v>
      </c>
    </row>
    <row r="24" spans="2:6" x14ac:dyDescent="0.25">
      <c r="B24" s="25">
        <f t="shared" si="0"/>
        <v>44482</v>
      </c>
      <c r="C24" s="24">
        <v>7</v>
      </c>
      <c r="E24" s="27">
        <f t="shared" si="1"/>
        <v>3.5</v>
      </c>
      <c r="F24" s="27">
        <f t="shared" si="2"/>
        <v>3.5</v>
      </c>
    </row>
    <row r="25" spans="2:6" x14ac:dyDescent="0.25">
      <c r="B25" s="25">
        <f t="shared" si="0"/>
        <v>44513</v>
      </c>
      <c r="C25" s="24">
        <v>8</v>
      </c>
      <c r="E25" s="27">
        <f t="shared" si="1"/>
        <v>4</v>
      </c>
      <c r="F25" s="27">
        <f t="shared" si="2"/>
        <v>4</v>
      </c>
    </row>
    <row r="26" spans="2:6" x14ac:dyDescent="0.25">
      <c r="B26" s="25">
        <f t="shared" si="0"/>
        <v>44544</v>
      </c>
      <c r="C26" s="24">
        <v>10</v>
      </c>
      <c r="E26" s="27">
        <f t="shared" si="1"/>
        <v>5</v>
      </c>
      <c r="F26" s="27">
        <f t="shared" si="2"/>
        <v>5</v>
      </c>
    </row>
    <row r="27" spans="2:6" x14ac:dyDescent="0.25">
      <c r="B27" s="25">
        <f t="shared" si="0"/>
        <v>44575</v>
      </c>
      <c r="C27" s="24">
        <v>12</v>
      </c>
      <c r="E27" s="27">
        <f t="shared" si="1"/>
        <v>6</v>
      </c>
      <c r="F27" s="27">
        <f t="shared" si="2"/>
        <v>6</v>
      </c>
    </row>
    <row r="28" spans="2:6" x14ac:dyDescent="0.25">
      <c r="B28" s="25">
        <f t="shared" si="0"/>
        <v>44606</v>
      </c>
      <c r="C28" s="24">
        <v>14</v>
      </c>
      <c r="E28" s="27">
        <f t="shared" si="1"/>
        <v>7</v>
      </c>
      <c r="F28" s="27">
        <f t="shared" si="2"/>
        <v>7</v>
      </c>
    </row>
    <row r="29" spans="2:6" x14ac:dyDescent="0.25">
      <c r="B29" s="25">
        <f t="shared" si="0"/>
        <v>44637</v>
      </c>
      <c r="C29" s="24">
        <v>16</v>
      </c>
      <c r="E29" s="27">
        <f t="shared" si="1"/>
        <v>8</v>
      </c>
      <c r="F29" s="27">
        <f t="shared" si="2"/>
        <v>8</v>
      </c>
    </row>
    <row r="30" spans="2:6" x14ac:dyDescent="0.25">
      <c r="B30" s="25">
        <f t="shared" si="0"/>
        <v>44668</v>
      </c>
      <c r="C30" s="24">
        <v>18</v>
      </c>
      <c r="E30" s="27">
        <f t="shared" si="1"/>
        <v>9</v>
      </c>
      <c r="F30" s="27">
        <f t="shared" si="2"/>
        <v>9</v>
      </c>
    </row>
    <row r="31" spans="2:6" x14ac:dyDescent="0.25">
      <c r="B31" s="25">
        <f t="shared" si="0"/>
        <v>44699</v>
      </c>
      <c r="C31" s="24">
        <v>21</v>
      </c>
      <c r="E31" s="27">
        <f t="shared" si="1"/>
        <v>10.5</v>
      </c>
      <c r="F31" s="27">
        <f t="shared" si="2"/>
        <v>10.5</v>
      </c>
    </row>
    <row r="32" spans="2:6" x14ac:dyDescent="0.25">
      <c r="B32" s="25">
        <f t="shared" si="0"/>
        <v>44730</v>
      </c>
      <c r="C32" s="24">
        <v>24</v>
      </c>
      <c r="E32" s="27">
        <f t="shared" si="1"/>
        <v>12</v>
      </c>
      <c r="F32" s="27">
        <f t="shared" si="2"/>
        <v>12</v>
      </c>
    </row>
    <row r="33" spans="2:6" x14ac:dyDescent="0.25">
      <c r="B33" s="25">
        <f t="shared" si="0"/>
        <v>44761</v>
      </c>
      <c r="C33" s="24">
        <v>27</v>
      </c>
      <c r="E33" s="27">
        <f t="shared" ref="E33:E53" si="3">+C33/2</f>
        <v>13.5</v>
      </c>
      <c r="F33" s="27">
        <f t="shared" ref="F33:F53" si="4">+C33/2</f>
        <v>13.5</v>
      </c>
    </row>
    <row r="34" spans="2:6" x14ac:dyDescent="0.25">
      <c r="B34" s="25">
        <f t="shared" si="0"/>
        <v>44792</v>
      </c>
      <c r="C34" s="24">
        <v>30</v>
      </c>
      <c r="E34" s="27">
        <f t="shared" si="3"/>
        <v>15</v>
      </c>
      <c r="F34" s="27">
        <f t="shared" si="4"/>
        <v>15</v>
      </c>
    </row>
    <row r="35" spans="2:6" x14ac:dyDescent="0.25">
      <c r="B35" s="25">
        <f t="shared" si="0"/>
        <v>44823</v>
      </c>
      <c r="C35" s="24">
        <f>+C34+4</f>
        <v>34</v>
      </c>
      <c r="E35" s="27">
        <f t="shared" si="3"/>
        <v>17</v>
      </c>
      <c r="F35" s="27">
        <f t="shared" si="4"/>
        <v>17</v>
      </c>
    </row>
    <row r="36" spans="2:6" x14ac:dyDescent="0.25">
      <c r="B36" s="25">
        <f t="shared" si="0"/>
        <v>44854</v>
      </c>
      <c r="C36" s="24">
        <f>+C35+4</f>
        <v>38</v>
      </c>
      <c r="E36" s="27">
        <f t="shared" si="3"/>
        <v>19</v>
      </c>
      <c r="F36" s="27">
        <f t="shared" si="4"/>
        <v>19</v>
      </c>
    </row>
    <row r="37" spans="2:6" x14ac:dyDescent="0.25">
      <c r="B37" s="25">
        <f t="shared" si="0"/>
        <v>44885</v>
      </c>
      <c r="C37" s="24">
        <f>+C36+5</f>
        <v>43</v>
      </c>
      <c r="E37" s="27">
        <f t="shared" si="3"/>
        <v>21.5</v>
      </c>
      <c r="F37" s="27">
        <f t="shared" si="4"/>
        <v>21.5</v>
      </c>
    </row>
    <row r="38" spans="2:6" x14ac:dyDescent="0.25">
      <c r="B38" s="25">
        <f t="shared" si="0"/>
        <v>44916</v>
      </c>
      <c r="C38" s="24">
        <f>+C37+5</f>
        <v>48</v>
      </c>
      <c r="E38" s="27">
        <f t="shared" si="3"/>
        <v>24</v>
      </c>
      <c r="F38" s="27">
        <f t="shared" si="4"/>
        <v>24</v>
      </c>
    </row>
    <row r="39" spans="2:6" x14ac:dyDescent="0.25">
      <c r="B39" s="25">
        <f t="shared" si="0"/>
        <v>44947</v>
      </c>
      <c r="C39" s="24">
        <f>+C38+5</f>
        <v>53</v>
      </c>
      <c r="E39" s="27">
        <f t="shared" si="3"/>
        <v>26.5</v>
      </c>
      <c r="F39" s="27">
        <f t="shared" si="4"/>
        <v>26.5</v>
      </c>
    </row>
    <row r="40" spans="2:6" x14ac:dyDescent="0.25">
      <c r="B40" s="25">
        <f t="shared" si="0"/>
        <v>44978</v>
      </c>
      <c r="C40" s="24">
        <f>+C39+5</f>
        <v>58</v>
      </c>
      <c r="E40" s="27">
        <f t="shared" si="3"/>
        <v>29</v>
      </c>
      <c r="F40" s="27">
        <f t="shared" si="4"/>
        <v>29</v>
      </c>
    </row>
    <row r="41" spans="2:6" x14ac:dyDescent="0.25">
      <c r="B41" s="25">
        <f t="shared" si="0"/>
        <v>45009</v>
      </c>
      <c r="C41" s="24">
        <f>+C40+5</f>
        <v>63</v>
      </c>
      <c r="E41" s="27">
        <f t="shared" si="3"/>
        <v>31.5</v>
      </c>
      <c r="F41" s="27">
        <f t="shared" si="4"/>
        <v>31.5</v>
      </c>
    </row>
    <row r="42" spans="2:6" x14ac:dyDescent="0.25">
      <c r="B42" s="25">
        <f t="shared" si="0"/>
        <v>45040</v>
      </c>
      <c r="C42" s="24">
        <f>+C41+5</f>
        <v>68</v>
      </c>
      <c r="E42" s="27">
        <f t="shared" si="3"/>
        <v>34</v>
      </c>
      <c r="F42" s="27">
        <f t="shared" si="4"/>
        <v>34</v>
      </c>
    </row>
    <row r="43" spans="2:6" x14ac:dyDescent="0.25">
      <c r="B43" s="25">
        <f t="shared" si="0"/>
        <v>45071</v>
      </c>
      <c r="C43" s="24">
        <f>+C42+5</f>
        <v>73</v>
      </c>
      <c r="E43" s="27">
        <f t="shared" si="3"/>
        <v>36.5</v>
      </c>
      <c r="F43" s="27">
        <f t="shared" si="4"/>
        <v>36.5</v>
      </c>
    </row>
    <row r="44" spans="2:6" x14ac:dyDescent="0.25">
      <c r="B44" s="25">
        <f t="shared" si="0"/>
        <v>45102</v>
      </c>
      <c r="C44" s="24">
        <f>+C43+5</f>
        <v>78</v>
      </c>
      <c r="E44" s="27">
        <f t="shared" si="3"/>
        <v>39</v>
      </c>
      <c r="F44" s="27">
        <f t="shared" si="4"/>
        <v>39</v>
      </c>
    </row>
    <row r="45" spans="2:6" x14ac:dyDescent="0.25">
      <c r="B45" s="25">
        <f t="shared" si="0"/>
        <v>45133</v>
      </c>
      <c r="C45" s="24">
        <f>+C44+5</f>
        <v>83</v>
      </c>
      <c r="E45" s="27">
        <f t="shared" si="3"/>
        <v>41.5</v>
      </c>
      <c r="F45" s="27">
        <f t="shared" si="4"/>
        <v>41.5</v>
      </c>
    </row>
    <row r="46" spans="2:6" x14ac:dyDescent="0.25">
      <c r="B46" s="25">
        <f t="shared" si="0"/>
        <v>45164</v>
      </c>
      <c r="C46" s="24">
        <f>+C45+5</f>
        <v>88</v>
      </c>
      <c r="E46" s="27">
        <f t="shared" si="3"/>
        <v>44</v>
      </c>
      <c r="F46" s="27">
        <f t="shared" si="4"/>
        <v>44</v>
      </c>
    </row>
    <row r="47" spans="2:6" x14ac:dyDescent="0.25">
      <c r="B47" s="25">
        <f t="shared" si="0"/>
        <v>45195</v>
      </c>
      <c r="C47" s="24">
        <f>+C46+5</f>
        <v>93</v>
      </c>
      <c r="E47" s="27">
        <f t="shared" si="3"/>
        <v>46.5</v>
      </c>
      <c r="F47" s="27">
        <f t="shared" si="4"/>
        <v>46.5</v>
      </c>
    </row>
    <row r="48" spans="2:6" x14ac:dyDescent="0.25">
      <c r="B48" s="25">
        <f t="shared" si="0"/>
        <v>45226</v>
      </c>
      <c r="C48" s="24">
        <f>+C47+5</f>
        <v>98</v>
      </c>
      <c r="E48" s="27">
        <f t="shared" si="3"/>
        <v>49</v>
      </c>
      <c r="F48" s="27">
        <f t="shared" si="4"/>
        <v>49</v>
      </c>
    </row>
    <row r="49" spans="2:10" x14ac:dyDescent="0.25">
      <c r="B49" s="25">
        <f t="shared" si="0"/>
        <v>45257</v>
      </c>
      <c r="C49" s="24">
        <f>+C48+5</f>
        <v>103</v>
      </c>
      <c r="E49" s="27">
        <f t="shared" si="3"/>
        <v>51.5</v>
      </c>
      <c r="F49" s="27">
        <f t="shared" si="4"/>
        <v>51.5</v>
      </c>
      <c r="J49" t="s">
        <v>118</v>
      </c>
    </row>
    <row r="50" spans="2:10" x14ac:dyDescent="0.25">
      <c r="B50" s="25">
        <f t="shared" si="0"/>
        <v>45288</v>
      </c>
      <c r="C50" s="24">
        <f>+C49+5</f>
        <v>108</v>
      </c>
      <c r="E50" s="27">
        <f t="shared" si="3"/>
        <v>54</v>
      </c>
      <c r="F50" s="27">
        <f t="shared" si="4"/>
        <v>54</v>
      </c>
    </row>
    <row r="51" spans="2:10" x14ac:dyDescent="0.25">
      <c r="B51" s="25">
        <f t="shared" si="0"/>
        <v>45319</v>
      </c>
      <c r="C51" s="24">
        <f>+C50+5</f>
        <v>113</v>
      </c>
      <c r="E51" s="27">
        <f t="shared" si="3"/>
        <v>56.5</v>
      </c>
      <c r="F51" s="27">
        <f t="shared" si="4"/>
        <v>56.5</v>
      </c>
    </row>
    <row r="52" spans="2:10" x14ac:dyDescent="0.25">
      <c r="B52" s="25">
        <f t="shared" si="0"/>
        <v>45350</v>
      </c>
      <c r="C52" s="24">
        <f>+C51+5</f>
        <v>118</v>
      </c>
      <c r="E52" s="27">
        <f t="shared" si="3"/>
        <v>59</v>
      </c>
      <c r="F52" s="27">
        <f t="shared" si="4"/>
        <v>59</v>
      </c>
    </row>
    <row r="53" spans="2:10" x14ac:dyDescent="0.25">
      <c r="B53" s="25">
        <f t="shared" si="0"/>
        <v>45381</v>
      </c>
      <c r="C53" s="24">
        <v>123</v>
      </c>
      <c r="E53" s="27">
        <f t="shared" si="3"/>
        <v>61.5</v>
      </c>
      <c r="F53" s="27">
        <f t="shared" si="4"/>
        <v>61.5</v>
      </c>
    </row>
    <row r="54" spans="2:10" x14ac:dyDescent="0.25">
      <c r="B54" s="25">
        <f t="shared" si="0"/>
        <v>45412</v>
      </c>
    </row>
    <row r="55" spans="2:10" x14ac:dyDescent="0.25">
      <c r="B55" s="25">
        <f t="shared" si="0"/>
        <v>45443</v>
      </c>
    </row>
    <row r="56" spans="2:10" x14ac:dyDescent="0.25">
      <c r="B56" s="25">
        <f>B55+29</f>
        <v>45472</v>
      </c>
    </row>
    <row r="57" spans="2:10" x14ac:dyDescent="0.25">
      <c r="B57" s="25">
        <f t="shared" si="0"/>
        <v>45503</v>
      </c>
    </row>
    <row r="58" spans="2:10" x14ac:dyDescent="0.25">
      <c r="B58" s="25">
        <f t="shared" si="0"/>
        <v>45534</v>
      </c>
    </row>
    <row r="59" spans="2:10" x14ac:dyDescent="0.25">
      <c r="B59" s="25">
        <f t="shared" si="0"/>
        <v>45565</v>
      </c>
    </row>
    <row r="60" spans="2:10" x14ac:dyDescent="0.25">
      <c r="B60" s="25">
        <f>B59+29</f>
        <v>45594</v>
      </c>
    </row>
    <row r="61" spans="2:10" x14ac:dyDescent="0.25">
      <c r="B61" s="25">
        <f t="shared" si="0"/>
        <v>45625</v>
      </c>
    </row>
    <row r="62" spans="2:10" x14ac:dyDescent="0.25">
      <c r="B62" s="25">
        <f t="shared" si="0"/>
        <v>45656</v>
      </c>
      <c r="D62" s="24">
        <v>60</v>
      </c>
    </row>
    <row r="63" spans="2:10" x14ac:dyDescent="0.25">
      <c r="B63" s="25">
        <f t="shared" si="0"/>
        <v>45687</v>
      </c>
      <c r="D63" s="24">
        <v>61</v>
      </c>
    </row>
    <row r="64" spans="2:10" x14ac:dyDescent="0.25">
      <c r="B64" s="25">
        <f>B63+28</f>
        <v>45715</v>
      </c>
      <c r="D64" s="24">
        <v>62</v>
      </c>
    </row>
    <row r="65" spans="2:4" x14ac:dyDescent="0.25">
      <c r="B65" s="25">
        <f t="shared" si="0"/>
        <v>45746</v>
      </c>
      <c r="D65" s="24">
        <v>63</v>
      </c>
    </row>
    <row r="66" spans="2:4" x14ac:dyDescent="0.25">
      <c r="B66" s="25">
        <f t="shared" si="0"/>
        <v>45777</v>
      </c>
      <c r="D66" s="24">
        <v>64</v>
      </c>
    </row>
    <row r="67" spans="2:4" x14ac:dyDescent="0.25">
      <c r="B67" s="25">
        <f t="shared" si="0"/>
        <v>45808</v>
      </c>
      <c r="D67" s="24">
        <v>65</v>
      </c>
    </row>
    <row r="68" spans="2:4" x14ac:dyDescent="0.25">
      <c r="B68" s="25">
        <f>B67+28</f>
        <v>45836</v>
      </c>
      <c r="D68" s="24">
        <v>66</v>
      </c>
    </row>
    <row r="69" spans="2:4" x14ac:dyDescent="0.25">
      <c r="B69" s="25">
        <f t="shared" si="0"/>
        <v>45867</v>
      </c>
      <c r="D69" s="24">
        <v>67</v>
      </c>
    </row>
    <row r="70" spans="2:4" x14ac:dyDescent="0.25">
      <c r="B70" s="25">
        <f t="shared" ref="B70:B86" si="5">B69+31</f>
        <v>45898</v>
      </c>
      <c r="D70" s="24">
        <v>68</v>
      </c>
    </row>
    <row r="71" spans="2:4" x14ac:dyDescent="0.25">
      <c r="B71" s="25">
        <f t="shared" si="5"/>
        <v>45929</v>
      </c>
      <c r="D71" s="24">
        <v>69</v>
      </c>
    </row>
    <row r="72" spans="2:4" x14ac:dyDescent="0.25">
      <c r="B72" s="25">
        <f t="shared" si="5"/>
        <v>45960</v>
      </c>
      <c r="D72" s="24">
        <v>70</v>
      </c>
    </row>
    <row r="73" spans="2:4" x14ac:dyDescent="0.25">
      <c r="B73" s="25">
        <f t="shared" si="5"/>
        <v>45991</v>
      </c>
      <c r="D73" s="24">
        <v>71</v>
      </c>
    </row>
    <row r="74" spans="2:4" x14ac:dyDescent="0.25">
      <c r="B74" s="25">
        <f t="shared" si="5"/>
        <v>46022</v>
      </c>
      <c r="D74" s="24">
        <v>72</v>
      </c>
    </row>
    <row r="75" spans="2:4" x14ac:dyDescent="0.25">
      <c r="B75" s="25">
        <f t="shared" si="5"/>
        <v>46053</v>
      </c>
      <c r="D75" s="24">
        <v>73</v>
      </c>
    </row>
    <row r="76" spans="2:4" x14ac:dyDescent="0.25">
      <c r="B76" s="25">
        <f>B75+28</f>
        <v>46081</v>
      </c>
      <c r="D76" s="24">
        <v>74</v>
      </c>
    </row>
    <row r="77" spans="2:4" x14ac:dyDescent="0.25">
      <c r="B77" s="25">
        <f t="shared" si="5"/>
        <v>46112</v>
      </c>
      <c r="D77" s="24">
        <v>75</v>
      </c>
    </row>
    <row r="78" spans="2:4" x14ac:dyDescent="0.25">
      <c r="B78" s="25">
        <f>B77+28</f>
        <v>46140</v>
      </c>
      <c r="D78" s="24">
        <v>76</v>
      </c>
    </row>
    <row r="79" spans="2:4" x14ac:dyDescent="0.25">
      <c r="B79" s="25">
        <f t="shared" si="5"/>
        <v>46171</v>
      </c>
      <c r="D79" s="24">
        <v>78</v>
      </c>
    </row>
    <row r="80" spans="2:4" x14ac:dyDescent="0.25">
      <c r="B80" s="25">
        <f t="shared" si="5"/>
        <v>46202</v>
      </c>
    </row>
    <row r="81" spans="2:2" x14ac:dyDescent="0.25">
      <c r="B81" s="25">
        <f t="shared" si="5"/>
        <v>46233</v>
      </c>
    </row>
    <row r="82" spans="2:2" x14ac:dyDescent="0.25">
      <c r="B82" s="25">
        <f t="shared" si="5"/>
        <v>46264</v>
      </c>
    </row>
    <row r="83" spans="2:2" x14ac:dyDescent="0.25">
      <c r="B83" s="25">
        <f t="shared" si="5"/>
        <v>46295</v>
      </c>
    </row>
    <row r="84" spans="2:2" x14ac:dyDescent="0.25">
      <c r="B84" s="25">
        <f>B83+28</f>
        <v>46323</v>
      </c>
    </row>
    <row r="85" spans="2:2" x14ac:dyDescent="0.25">
      <c r="B85" s="25">
        <f t="shared" si="5"/>
        <v>46354</v>
      </c>
    </row>
    <row r="86" spans="2:2" x14ac:dyDescent="0.25">
      <c r="B86" s="25">
        <f t="shared" si="5"/>
        <v>46385</v>
      </c>
    </row>
    <row r="87" spans="2:2" x14ac:dyDescent="0.25">
      <c r="B87" s="25"/>
    </row>
    <row r="88" spans="2:2" x14ac:dyDescent="0.25">
      <c r="B88" s="25"/>
    </row>
    <row r="89" spans="2:2" x14ac:dyDescent="0.25">
      <c r="B89" s="25"/>
    </row>
    <row r="90" spans="2:2" x14ac:dyDescent="0.25">
      <c r="B90" s="25"/>
    </row>
    <row r="219" spans="2:2" x14ac:dyDescent="0.25">
      <c r="B219" s="27"/>
    </row>
    <row r="220" spans="2:2" x14ac:dyDescent="0.25">
      <c r="B220" s="27"/>
    </row>
    <row r="221" spans="2:2" x14ac:dyDescent="0.25">
      <c r="B221" s="27"/>
    </row>
    <row r="222" spans="2:2" x14ac:dyDescent="0.25">
      <c r="B222" s="27"/>
    </row>
    <row r="223" spans="2:2" x14ac:dyDescent="0.25">
      <c r="B223" s="27"/>
    </row>
    <row r="224" spans="2:2" x14ac:dyDescent="0.25">
      <c r="B224" s="27"/>
    </row>
    <row r="225" spans="2:2" x14ac:dyDescent="0.25">
      <c r="B225" s="27"/>
    </row>
    <row r="226" spans="2:2" x14ac:dyDescent="0.25">
      <c r="B226" s="27"/>
    </row>
    <row r="227" spans="2:2" x14ac:dyDescent="0.25">
      <c r="B227" s="27"/>
    </row>
    <row r="228" spans="2:2" x14ac:dyDescent="0.25">
      <c r="B228" s="27"/>
    </row>
    <row r="229" spans="2:2" x14ac:dyDescent="0.25">
      <c r="B229" s="27"/>
    </row>
    <row r="230" spans="2:2" x14ac:dyDescent="0.25">
      <c r="B230" s="27"/>
    </row>
    <row r="231" spans="2:2" x14ac:dyDescent="0.25">
      <c r="B231" s="27"/>
    </row>
    <row r="232" spans="2:2" x14ac:dyDescent="0.25">
      <c r="B232" s="27"/>
    </row>
    <row r="233" spans="2:2" x14ac:dyDescent="0.25">
      <c r="B233" s="27"/>
    </row>
  </sheetData>
  <mergeCells count="3">
    <mergeCell ref="E1:F1"/>
    <mergeCell ref="G1:H1"/>
    <mergeCell ref="C1:D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4C8E-9C58-4C7F-A3FC-22496D4388DD}">
  <dimension ref="B2:K132"/>
  <sheetViews>
    <sheetView zoomScale="205" zoomScaleNormal="205" workbookViewId="0">
      <pane xSplit="2" ySplit="5" topLeftCell="C6" activePane="bottomRight" state="frozen"/>
      <selection pane="topRight" activeCell="C1" sqref="C1"/>
      <selection pane="bottomLeft" activeCell="A3" sqref="A3"/>
      <selection pane="bottomRight" activeCell="C6" sqref="C6"/>
    </sheetView>
  </sheetViews>
  <sheetFormatPr defaultRowHeight="12.5" x14ac:dyDescent="0.25"/>
  <cols>
    <col min="1" max="1" width="6.6328125" customWidth="1"/>
    <col min="2" max="2" width="10.453125" customWidth="1"/>
    <col min="3" max="3" width="11.81640625" bestFit="1" customWidth="1"/>
    <col min="4" max="4" width="0.36328125" style="2" customWidth="1"/>
    <col min="5" max="5" width="10" style="2" customWidth="1"/>
    <col min="6" max="8" width="8.7265625" style="2"/>
  </cols>
  <sheetData>
    <row r="2" spans="2:11" x14ac:dyDescent="0.25">
      <c r="B2" t="s">
        <v>126</v>
      </c>
      <c r="C2">
        <v>24</v>
      </c>
      <c r="E2" s="2" t="s">
        <v>121</v>
      </c>
    </row>
    <row r="3" spans="2:11" x14ac:dyDescent="0.25">
      <c r="B3" t="s">
        <v>126</v>
      </c>
      <c r="C3">
        <v>24</v>
      </c>
      <c r="E3" s="2" t="s">
        <v>115</v>
      </c>
    </row>
    <row r="4" spans="2:11" x14ac:dyDescent="0.25">
      <c r="J4" s="26" t="s">
        <v>128</v>
      </c>
      <c r="K4" s="26"/>
    </row>
    <row r="5" spans="2:11" x14ac:dyDescent="0.25">
      <c r="B5" s="25" t="s">
        <v>119</v>
      </c>
      <c r="C5" t="s">
        <v>120</v>
      </c>
      <c r="D5" s="2" t="s">
        <v>123</v>
      </c>
      <c r="E5" s="2" t="s">
        <v>124</v>
      </c>
      <c r="F5" s="2" t="s">
        <v>121</v>
      </c>
      <c r="G5" s="2" t="s">
        <v>122</v>
      </c>
      <c r="H5" s="2" t="s">
        <v>117</v>
      </c>
      <c r="I5" s="2" t="s">
        <v>125</v>
      </c>
      <c r="J5" s="2" t="s">
        <v>121</v>
      </c>
      <c r="K5" s="2" t="s">
        <v>127</v>
      </c>
    </row>
    <row r="6" spans="2:11" x14ac:dyDescent="0.25">
      <c r="B6" s="27">
        <v>1</v>
      </c>
      <c r="C6" s="23">
        <v>44197</v>
      </c>
      <c r="D6" s="2">
        <f ca="1">RANDBETWEEN(0,1)</f>
        <v>0</v>
      </c>
      <c r="E6" s="2" t="str">
        <f ca="1">IF(D6=0,"PLACEBO","DRUG")</f>
        <v>PLACEBO</v>
      </c>
      <c r="F6" s="2">
        <f ca="1">SUM(D6)</f>
        <v>0</v>
      </c>
      <c r="G6" s="2">
        <f ca="1">+H6-F6</f>
        <v>1</v>
      </c>
      <c r="H6" s="2">
        <f>COUNT(B6)</f>
        <v>1</v>
      </c>
      <c r="I6" s="23">
        <f ca="1">IF(D6=1,C6+($C$2*30),C6+($C$3*30))</f>
        <v>44917</v>
      </c>
    </row>
    <row r="7" spans="2:11" x14ac:dyDescent="0.25">
      <c r="B7" s="27">
        <f>B6+1</f>
        <v>2</v>
      </c>
      <c r="C7" s="23">
        <v>44228</v>
      </c>
      <c r="D7" s="2">
        <f ca="1">RANDBETWEEN(0,1)</f>
        <v>0</v>
      </c>
      <c r="E7" s="2" t="str">
        <f ca="1">IF(D7=0,"PLACEBO","DRUG")</f>
        <v>PLACEBO</v>
      </c>
      <c r="F7" s="2">
        <f ca="1">SUM($D$6:D7)</f>
        <v>0</v>
      </c>
      <c r="G7" s="2">
        <f t="shared" ref="G7:G71" ca="1" si="0">+H7-F7</f>
        <v>2</v>
      </c>
      <c r="H7" s="2">
        <f>COUNT($B$6:B7)</f>
        <v>2</v>
      </c>
      <c r="I7" s="23">
        <f ca="1">IF(D7=1,C7+($C$2*30),C7+($C$3*30))</f>
        <v>44948</v>
      </c>
    </row>
    <row r="8" spans="2:11" x14ac:dyDescent="0.25">
      <c r="B8" s="27">
        <f>B7+1</f>
        <v>3</v>
      </c>
      <c r="C8" s="23">
        <v>44256</v>
      </c>
      <c r="D8" s="2">
        <f t="shared" ref="D8:D71" ca="1" si="1">RANDBETWEEN(0,1)</f>
        <v>1</v>
      </c>
      <c r="E8" s="2" t="str">
        <f ca="1">IF(D8=0,"PLACEBO","DRUG")</f>
        <v>DRUG</v>
      </c>
      <c r="F8" s="2">
        <f ca="1">SUM($D$6:D8)</f>
        <v>1</v>
      </c>
      <c r="G8" s="2">
        <f t="shared" ca="1" si="0"/>
        <v>2</v>
      </c>
      <c r="H8" s="2">
        <f>COUNT($B$6:B8)</f>
        <v>3</v>
      </c>
      <c r="I8" s="23">
        <f t="shared" ref="I8:I14" ca="1" si="2">IF(D8=1,C8+($C$2*30),C8+($C$3*30))</f>
        <v>44976</v>
      </c>
    </row>
    <row r="9" spans="2:11" x14ac:dyDescent="0.25">
      <c r="B9" s="27">
        <f>B8+1</f>
        <v>4</v>
      </c>
      <c r="C9" s="23">
        <v>44287</v>
      </c>
      <c r="D9" s="2">
        <f t="shared" ca="1" si="1"/>
        <v>1</v>
      </c>
      <c r="E9" s="2" t="str">
        <f t="shared" ref="E9" ca="1" si="3">IF(D9=0,"PLACEBO","DRUG")</f>
        <v>DRUG</v>
      </c>
      <c r="F9" s="2">
        <f ca="1">SUM($D$6:D9)</f>
        <v>2</v>
      </c>
      <c r="G9" s="2">
        <f t="shared" ca="1" si="0"/>
        <v>2</v>
      </c>
      <c r="H9" s="2">
        <f>COUNT($B$6:B9)</f>
        <v>4</v>
      </c>
      <c r="I9" s="23">
        <f t="shared" ca="1" si="2"/>
        <v>45007</v>
      </c>
    </row>
    <row r="10" spans="2:11" x14ac:dyDescent="0.25">
      <c r="B10" s="27">
        <f>B9+1</f>
        <v>5</v>
      </c>
      <c r="C10" s="23">
        <v>44317</v>
      </c>
      <c r="D10" s="2">
        <f t="shared" ca="1" si="1"/>
        <v>1</v>
      </c>
      <c r="E10" s="2" t="str">
        <f ca="1">IF(D10=0,"PLACEBO","DRUG")</f>
        <v>DRUG</v>
      </c>
      <c r="F10" s="2">
        <f ca="1">SUM($D$6:D10)</f>
        <v>3</v>
      </c>
      <c r="G10" s="2">
        <f t="shared" ca="1" si="0"/>
        <v>2</v>
      </c>
      <c r="H10" s="2">
        <f>COUNT($B$6:B10)</f>
        <v>5</v>
      </c>
      <c r="I10" s="23">
        <f t="shared" ca="1" si="2"/>
        <v>45037</v>
      </c>
    </row>
    <row r="11" spans="2:11" x14ac:dyDescent="0.25">
      <c r="B11" s="27">
        <f>B10+1</f>
        <v>6</v>
      </c>
      <c r="C11" s="23">
        <v>44348</v>
      </c>
      <c r="D11" s="2">
        <f t="shared" ca="1" si="1"/>
        <v>1</v>
      </c>
      <c r="E11" s="2" t="str">
        <f t="shared" ref="E11:E74" ca="1" si="4">IF(D11=0,"PLACEBO","DRUG")</f>
        <v>DRUG</v>
      </c>
      <c r="F11" s="2">
        <f ca="1">SUM($D$6:D11)</f>
        <v>4</v>
      </c>
      <c r="G11" s="2">
        <f t="shared" ca="1" si="0"/>
        <v>2</v>
      </c>
      <c r="H11" s="2">
        <f>COUNT($B$6:B11)</f>
        <v>6</v>
      </c>
      <c r="I11" s="23">
        <f t="shared" ca="1" si="2"/>
        <v>45068</v>
      </c>
    </row>
    <row r="12" spans="2:11" x14ac:dyDescent="0.25">
      <c r="B12" s="27">
        <f>B11+1</f>
        <v>7</v>
      </c>
      <c r="C12" s="23">
        <v>44378</v>
      </c>
      <c r="D12" s="2">
        <f t="shared" ca="1" si="1"/>
        <v>0</v>
      </c>
      <c r="E12" s="2" t="str">
        <f t="shared" ca="1" si="4"/>
        <v>PLACEBO</v>
      </c>
      <c r="F12" s="2">
        <f ca="1">SUM($D$6:D12)</f>
        <v>4</v>
      </c>
      <c r="G12" s="2">
        <f t="shared" ca="1" si="0"/>
        <v>3</v>
      </c>
      <c r="H12" s="2">
        <f>COUNT($B$6:B12)</f>
        <v>7</v>
      </c>
      <c r="I12" s="23">
        <f t="shared" ca="1" si="2"/>
        <v>45098</v>
      </c>
    </row>
    <row r="13" spans="2:11" x14ac:dyDescent="0.25">
      <c r="B13" s="27">
        <f>B12+1</f>
        <v>8</v>
      </c>
      <c r="C13" s="23">
        <v>44409</v>
      </c>
      <c r="D13" s="2">
        <f t="shared" ca="1" si="1"/>
        <v>1</v>
      </c>
      <c r="E13" s="2" t="str">
        <f t="shared" ca="1" si="4"/>
        <v>DRUG</v>
      </c>
      <c r="F13" s="2">
        <f ca="1">SUM($D$6:D13)</f>
        <v>5</v>
      </c>
      <c r="G13" s="2">
        <f t="shared" ca="1" si="0"/>
        <v>3</v>
      </c>
      <c r="H13" s="2">
        <f>COUNT($B$6:B13)</f>
        <v>8</v>
      </c>
      <c r="I13" s="23">
        <f t="shared" ca="1" si="2"/>
        <v>45129</v>
      </c>
    </row>
    <row r="14" spans="2:11" x14ac:dyDescent="0.25">
      <c r="B14" s="27">
        <f>B13+1</f>
        <v>9</v>
      </c>
      <c r="C14" s="23">
        <v>44440</v>
      </c>
      <c r="D14" s="2">
        <f t="shared" ca="1" si="1"/>
        <v>1</v>
      </c>
      <c r="E14" s="2" t="str">
        <f t="shared" ca="1" si="4"/>
        <v>DRUG</v>
      </c>
      <c r="F14" s="2">
        <f ca="1">SUM($D$6:D14)</f>
        <v>6</v>
      </c>
      <c r="G14" s="2">
        <f t="shared" ca="1" si="0"/>
        <v>3</v>
      </c>
      <c r="H14" s="2">
        <f>COUNT($B$6:B14)</f>
        <v>9</v>
      </c>
      <c r="I14" s="23">
        <f t="shared" ca="1" si="2"/>
        <v>45160</v>
      </c>
    </row>
    <row r="15" spans="2:11" x14ac:dyDescent="0.25">
      <c r="B15" s="27">
        <f>B14+1</f>
        <v>10</v>
      </c>
      <c r="C15" s="23">
        <v>44470</v>
      </c>
      <c r="D15" s="2">
        <f t="shared" ca="1" si="1"/>
        <v>1</v>
      </c>
      <c r="E15" s="2" t="str">
        <f t="shared" ca="1" si="4"/>
        <v>DRUG</v>
      </c>
      <c r="F15" s="2">
        <f ca="1">SUM($D$6:D15)</f>
        <v>7</v>
      </c>
      <c r="G15" s="2">
        <f t="shared" ca="1" si="0"/>
        <v>3</v>
      </c>
      <c r="H15" s="2">
        <f>COUNT($B$6:B15)</f>
        <v>10</v>
      </c>
      <c r="I15" s="23">
        <f t="shared" ref="I15:I16" ca="1" si="5">IF(D15=1,C15+($C$2*30),C15+($C$3*30))</f>
        <v>45190</v>
      </c>
    </row>
    <row r="16" spans="2:11" x14ac:dyDescent="0.25">
      <c r="B16" s="27">
        <f>B15+1</f>
        <v>11</v>
      </c>
      <c r="C16" s="23">
        <v>44501</v>
      </c>
      <c r="D16" s="2">
        <f t="shared" ca="1" si="1"/>
        <v>1</v>
      </c>
      <c r="E16" s="2" t="str">
        <f t="shared" ca="1" si="4"/>
        <v>DRUG</v>
      </c>
      <c r="F16" s="2">
        <f ca="1">SUM($D$6:D16)</f>
        <v>8</v>
      </c>
      <c r="G16" s="2">
        <f t="shared" ca="1" si="0"/>
        <v>3</v>
      </c>
      <c r="H16" s="2">
        <f>COUNT($B$6:B16)</f>
        <v>11</v>
      </c>
      <c r="I16" s="23">
        <f t="shared" ca="1" si="5"/>
        <v>45221</v>
      </c>
    </row>
    <row r="17" spans="2:9" x14ac:dyDescent="0.25">
      <c r="B17" s="27">
        <f>B16+1</f>
        <v>12</v>
      </c>
      <c r="C17" s="23">
        <v>44531</v>
      </c>
      <c r="D17" s="2">
        <f t="shared" ca="1" si="1"/>
        <v>0</v>
      </c>
      <c r="E17" s="2" t="str">
        <f t="shared" ca="1" si="4"/>
        <v>PLACEBO</v>
      </c>
      <c r="F17" s="2">
        <f ca="1">SUM($D$6:D17)</f>
        <v>8</v>
      </c>
      <c r="G17" s="2">
        <f t="shared" ca="1" si="0"/>
        <v>4</v>
      </c>
      <c r="H17" s="2">
        <f>COUNT($B$6:B17)</f>
        <v>12</v>
      </c>
      <c r="I17" s="23">
        <f t="shared" ref="I17:I18" ca="1" si="6">IF(D17=1,C17+($C$2*30),C17+($C$3*30))</f>
        <v>45251</v>
      </c>
    </row>
    <row r="18" spans="2:9" x14ac:dyDescent="0.25">
      <c r="B18" s="27">
        <f>B17+1</f>
        <v>13</v>
      </c>
      <c r="C18" s="23">
        <v>44562</v>
      </c>
      <c r="D18" s="2">
        <f t="shared" ca="1" si="1"/>
        <v>0</v>
      </c>
      <c r="E18" s="2" t="str">
        <f t="shared" ca="1" si="4"/>
        <v>PLACEBO</v>
      </c>
      <c r="F18" s="2">
        <f ca="1">SUM($D$6:D18)</f>
        <v>8</v>
      </c>
      <c r="G18" s="2">
        <f t="shared" ca="1" si="0"/>
        <v>5</v>
      </c>
      <c r="H18" s="2">
        <f>COUNT($B$6:B18)</f>
        <v>13</v>
      </c>
      <c r="I18" s="23">
        <f t="shared" ca="1" si="6"/>
        <v>45282</v>
      </c>
    </row>
    <row r="19" spans="2:9" x14ac:dyDescent="0.25">
      <c r="B19" s="27">
        <f>B18+1</f>
        <v>14</v>
      </c>
      <c r="C19" s="23">
        <v>44593</v>
      </c>
      <c r="D19" s="2">
        <f t="shared" ca="1" si="1"/>
        <v>0</v>
      </c>
      <c r="E19" s="2" t="str">
        <f t="shared" ca="1" si="4"/>
        <v>PLACEBO</v>
      </c>
      <c r="F19" s="2">
        <f ca="1">SUM($D$6:D19)</f>
        <v>8</v>
      </c>
      <c r="G19" s="2">
        <f t="shared" ca="1" si="0"/>
        <v>6</v>
      </c>
      <c r="H19" s="2">
        <f>COUNT($B$6:B19)</f>
        <v>14</v>
      </c>
      <c r="I19" s="23">
        <f t="shared" ref="I19:I20" ca="1" si="7">IF(D19=1,C19+($C$2*30),C19+($C$3*30))</f>
        <v>45313</v>
      </c>
    </row>
    <row r="20" spans="2:9" x14ac:dyDescent="0.25">
      <c r="B20" s="27">
        <f>B19+1</f>
        <v>15</v>
      </c>
      <c r="C20" s="23">
        <v>44621</v>
      </c>
      <c r="D20" s="2">
        <f t="shared" ca="1" si="1"/>
        <v>1</v>
      </c>
      <c r="E20" s="2" t="str">
        <f t="shared" ca="1" si="4"/>
        <v>DRUG</v>
      </c>
      <c r="F20" s="2">
        <f ca="1">SUM($D$6:D20)</f>
        <v>9</v>
      </c>
      <c r="G20" s="2">
        <f t="shared" ca="1" si="0"/>
        <v>6</v>
      </c>
      <c r="H20" s="2">
        <f>COUNT($B$6:B20)</f>
        <v>15</v>
      </c>
      <c r="I20" s="23">
        <f t="shared" ca="1" si="7"/>
        <v>45341</v>
      </c>
    </row>
    <row r="21" spans="2:9" x14ac:dyDescent="0.25">
      <c r="B21" s="27">
        <f>B20+1</f>
        <v>16</v>
      </c>
      <c r="C21" s="23">
        <v>44621</v>
      </c>
      <c r="D21" s="2">
        <f t="shared" ca="1" si="1"/>
        <v>0</v>
      </c>
      <c r="E21" s="2" t="str">
        <f t="shared" ca="1" si="4"/>
        <v>PLACEBO</v>
      </c>
      <c r="F21" s="2">
        <f ca="1">SUM($D$6:D21)</f>
        <v>9</v>
      </c>
      <c r="G21" s="2">
        <f t="shared" ca="1" si="0"/>
        <v>7</v>
      </c>
      <c r="H21" s="2">
        <f>COUNT($B$6:B21)</f>
        <v>16</v>
      </c>
      <c r="I21" s="23">
        <f t="shared" ref="I21:I23" ca="1" si="8">IF(D21=1,C21+($C$2*30),C21+($C$3*30))</f>
        <v>45341</v>
      </c>
    </row>
    <row r="22" spans="2:9" x14ac:dyDescent="0.25">
      <c r="B22" s="27">
        <f>B21+1</f>
        <v>17</v>
      </c>
      <c r="C22" s="23">
        <v>44652</v>
      </c>
      <c r="D22" s="2">
        <f t="shared" ca="1" si="1"/>
        <v>1</v>
      </c>
      <c r="E22" s="2" t="str">
        <f t="shared" ca="1" si="4"/>
        <v>DRUG</v>
      </c>
      <c r="F22" s="2">
        <f ca="1">SUM($D$6:D22)</f>
        <v>10</v>
      </c>
      <c r="G22" s="2">
        <f t="shared" ca="1" si="0"/>
        <v>7</v>
      </c>
      <c r="H22" s="2">
        <f>COUNT($B$6:B22)</f>
        <v>17</v>
      </c>
      <c r="I22" s="23">
        <f t="shared" ca="1" si="8"/>
        <v>45372</v>
      </c>
    </row>
    <row r="23" spans="2:9" x14ac:dyDescent="0.25">
      <c r="B23" s="27">
        <f>B22+1</f>
        <v>18</v>
      </c>
      <c r="C23" s="23">
        <v>44652</v>
      </c>
      <c r="D23" s="2">
        <f t="shared" ca="1" si="1"/>
        <v>1</v>
      </c>
      <c r="E23" s="2" t="str">
        <f t="shared" ca="1" si="4"/>
        <v>DRUG</v>
      </c>
      <c r="F23" s="2">
        <f ca="1">SUM($D$6:D23)</f>
        <v>11</v>
      </c>
      <c r="G23" s="2">
        <f t="shared" ca="1" si="0"/>
        <v>7</v>
      </c>
      <c r="H23" s="2">
        <f>COUNT($B$6:B23)</f>
        <v>18</v>
      </c>
      <c r="I23" s="23">
        <f t="shared" ca="1" si="8"/>
        <v>45372</v>
      </c>
    </row>
    <row r="24" spans="2:9" x14ac:dyDescent="0.25">
      <c r="B24" s="27">
        <f>B23+1</f>
        <v>19</v>
      </c>
      <c r="C24" s="23">
        <v>44682</v>
      </c>
      <c r="D24" s="2">
        <f t="shared" ca="1" si="1"/>
        <v>1</v>
      </c>
      <c r="E24" s="2" t="str">
        <f t="shared" ca="1" si="4"/>
        <v>DRUG</v>
      </c>
      <c r="F24" s="2">
        <f ca="1">SUM($D$6:D24)</f>
        <v>12</v>
      </c>
      <c r="G24" s="2">
        <f t="shared" ca="1" si="0"/>
        <v>7</v>
      </c>
      <c r="H24" s="2">
        <f>COUNT($B$6:B24)</f>
        <v>19</v>
      </c>
      <c r="I24" s="23">
        <f t="shared" ref="I24:I26" ca="1" si="9">IF(D24=1,C24+($C$2*30),C24+($C$3*30))</f>
        <v>45402</v>
      </c>
    </row>
    <row r="25" spans="2:9" x14ac:dyDescent="0.25">
      <c r="B25" s="27">
        <f>B24+1</f>
        <v>20</v>
      </c>
      <c r="C25" s="23">
        <v>44682</v>
      </c>
      <c r="D25" s="2">
        <f t="shared" ca="1" si="1"/>
        <v>1</v>
      </c>
      <c r="E25" s="2" t="str">
        <f t="shared" ca="1" si="4"/>
        <v>DRUG</v>
      </c>
      <c r="F25" s="2">
        <f ca="1">SUM($D$6:D25)</f>
        <v>13</v>
      </c>
      <c r="G25" s="2">
        <f t="shared" ca="1" si="0"/>
        <v>7</v>
      </c>
      <c r="H25" s="2">
        <f>COUNT($B$6:B25)</f>
        <v>20</v>
      </c>
      <c r="I25" s="23">
        <f t="shared" ca="1" si="9"/>
        <v>45402</v>
      </c>
    </row>
    <row r="26" spans="2:9" x14ac:dyDescent="0.25">
      <c r="B26" s="27">
        <f>B25+1</f>
        <v>21</v>
      </c>
      <c r="C26" s="23">
        <v>44682</v>
      </c>
      <c r="D26" s="2">
        <f t="shared" ca="1" si="1"/>
        <v>0</v>
      </c>
      <c r="E26" s="2" t="str">
        <f t="shared" ca="1" si="4"/>
        <v>PLACEBO</v>
      </c>
      <c r="F26" s="2">
        <f ca="1">SUM($D$6:D26)</f>
        <v>13</v>
      </c>
      <c r="G26" s="2">
        <f t="shared" ca="1" si="0"/>
        <v>8</v>
      </c>
      <c r="H26" s="2">
        <f>COUNT($B$6:B26)</f>
        <v>21</v>
      </c>
      <c r="I26" s="23">
        <f t="shared" ca="1" si="9"/>
        <v>45402</v>
      </c>
    </row>
    <row r="27" spans="2:9" x14ac:dyDescent="0.25">
      <c r="B27" s="27">
        <f>B26+1</f>
        <v>22</v>
      </c>
      <c r="C27" s="23">
        <v>44713</v>
      </c>
      <c r="D27" s="2">
        <f t="shared" ca="1" si="1"/>
        <v>1</v>
      </c>
      <c r="E27" s="2" t="str">
        <f t="shared" ca="1" si="4"/>
        <v>DRUG</v>
      </c>
      <c r="F27" s="2">
        <f ca="1">SUM($D$6:D27)</f>
        <v>14</v>
      </c>
      <c r="G27" s="2">
        <f t="shared" ca="1" si="0"/>
        <v>8</v>
      </c>
      <c r="H27" s="2">
        <f>COUNT($B$6:B27)</f>
        <v>22</v>
      </c>
      <c r="I27" s="23">
        <f t="shared" ref="I27:I45" ca="1" si="10">IF(D27=1,C27+($C$2*30),C27+($C$3*30))</f>
        <v>45433</v>
      </c>
    </row>
    <row r="28" spans="2:9" x14ac:dyDescent="0.25">
      <c r="B28" s="27">
        <f>B27+1</f>
        <v>23</v>
      </c>
      <c r="C28" s="23">
        <v>44713</v>
      </c>
      <c r="D28" s="2">
        <f t="shared" ca="1" si="1"/>
        <v>1</v>
      </c>
      <c r="E28" s="2" t="str">
        <f t="shared" ca="1" si="4"/>
        <v>DRUG</v>
      </c>
      <c r="F28" s="2">
        <f ca="1">SUM($D$6:D28)</f>
        <v>15</v>
      </c>
      <c r="G28" s="2">
        <f t="shared" ca="1" si="0"/>
        <v>8</v>
      </c>
      <c r="H28" s="2">
        <f>COUNT($B$6:B28)</f>
        <v>23</v>
      </c>
      <c r="I28" s="23">
        <f t="shared" ca="1" si="10"/>
        <v>45433</v>
      </c>
    </row>
    <row r="29" spans="2:9" x14ac:dyDescent="0.25">
      <c r="B29" s="27">
        <f>B28+1</f>
        <v>24</v>
      </c>
      <c r="C29" s="23">
        <v>44713</v>
      </c>
      <c r="D29" s="2">
        <f t="shared" ca="1" si="1"/>
        <v>0</v>
      </c>
      <c r="E29" s="2" t="str">
        <f t="shared" ca="1" si="4"/>
        <v>PLACEBO</v>
      </c>
      <c r="F29" s="2">
        <f ca="1">SUM($D$6:D29)</f>
        <v>15</v>
      </c>
      <c r="G29" s="2">
        <f t="shared" ca="1" si="0"/>
        <v>9</v>
      </c>
      <c r="H29" s="2">
        <f>COUNT($B$6:B29)</f>
        <v>24</v>
      </c>
      <c r="I29" s="23">
        <f t="shared" ca="1" si="10"/>
        <v>45433</v>
      </c>
    </row>
    <row r="30" spans="2:9" x14ac:dyDescent="0.25">
      <c r="B30" s="27">
        <f>B29+1</f>
        <v>25</v>
      </c>
      <c r="C30" s="23">
        <v>44743</v>
      </c>
      <c r="D30" s="2">
        <f t="shared" ca="1" si="1"/>
        <v>1</v>
      </c>
      <c r="E30" s="2" t="str">
        <f t="shared" ca="1" si="4"/>
        <v>DRUG</v>
      </c>
      <c r="F30" s="2">
        <f ca="1">SUM($D$6:D30)</f>
        <v>16</v>
      </c>
      <c r="G30" s="2">
        <f t="shared" ca="1" si="0"/>
        <v>9</v>
      </c>
      <c r="H30" s="2">
        <f>COUNT($B$6:B30)</f>
        <v>25</v>
      </c>
      <c r="I30" s="23">
        <f t="shared" ca="1" si="10"/>
        <v>45463</v>
      </c>
    </row>
    <row r="31" spans="2:9" x14ac:dyDescent="0.25">
      <c r="B31" s="27">
        <f>B30+1</f>
        <v>26</v>
      </c>
      <c r="C31" s="23">
        <v>44743</v>
      </c>
      <c r="D31" s="2">
        <f t="shared" ca="1" si="1"/>
        <v>1</v>
      </c>
      <c r="E31" s="2" t="str">
        <f t="shared" ca="1" si="4"/>
        <v>DRUG</v>
      </c>
      <c r="F31" s="2">
        <f ca="1">SUM($D$6:D31)</f>
        <v>17</v>
      </c>
      <c r="G31" s="2">
        <f t="shared" ca="1" si="0"/>
        <v>9</v>
      </c>
      <c r="H31" s="2">
        <f>COUNT($B$6:B31)</f>
        <v>26</v>
      </c>
      <c r="I31" s="23">
        <f t="shared" ca="1" si="10"/>
        <v>45463</v>
      </c>
    </row>
    <row r="32" spans="2:9" x14ac:dyDescent="0.25">
      <c r="B32" s="27">
        <f>B31+1</f>
        <v>27</v>
      </c>
      <c r="C32" s="23">
        <v>44743</v>
      </c>
      <c r="D32" s="2">
        <f t="shared" ca="1" si="1"/>
        <v>1</v>
      </c>
      <c r="E32" s="2" t="str">
        <f t="shared" ca="1" si="4"/>
        <v>DRUG</v>
      </c>
      <c r="F32" s="2">
        <f ca="1">SUM($D$6:D32)</f>
        <v>18</v>
      </c>
      <c r="G32" s="2">
        <f t="shared" ca="1" si="0"/>
        <v>9</v>
      </c>
      <c r="H32" s="2">
        <f>COUNT($B$6:B32)</f>
        <v>27</v>
      </c>
      <c r="I32" s="23">
        <f t="shared" ca="1" si="10"/>
        <v>45463</v>
      </c>
    </row>
    <row r="33" spans="2:9" x14ac:dyDescent="0.25">
      <c r="B33" s="27">
        <f>B32+1</f>
        <v>28</v>
      </c>
      <c r="C33" s="23">
        <v>44774</v>
      </c>
      <c r="D33" s="2">
        <f t="shared" ca="1" si="1"/>
        <v>0</v>
      </c>
      <c r="E33" s="2" t="str">
        <f t="shared" ca="1" si="4"/>
        <v>PLACEBO</v>
      </c>
      <c r="F33" s="2">
        <f ca="1">SUM($D$6:D33)</f>
        <v>18</v>
      </c>
      <c r="G33" s="2">
        <f t="shared" ca="1" si="0"/>
        <v>10</v>
      </c>
      <c r="H33" s="2">
        <f>COUNT($B$6:B33)</f>
        <v>28</v>
      </c>
      <c r="I33" s="23">
        <f t="shared" ca="1" si="10"/>
        <v>45494</v>
      </c>
    </row>
    <row r="34" spans="2:9" x14ac:dyDescent="0.25">
      <c r="B34" s="27">
        <f>B33+1</f>
        <v>29</v>
      </c>
      <c r="C34" s="23">
        <v>44774</v>
      </c>
      <c r="D34" s="2">
        <f t="shared" ca="1" si="1"/>
        <v>0</v>
      </c>
      <c r="E34" s="2" t="str">
        <f t="shared" ca="1" si="4"/>
        <v>PLACEBO</v>
      </c>
      <c r="F34" s="2">
        <f ca="1">SUM($D$6:D34)</f>
        <v>18</v>
      </c>
      <c r="G34" s="2">
        <f t="shared" ca="1" si="0"/>
        <v>11</v>
      </c>
      <c r="H34" s="2">
        <f>COUNT($B$6:B34)</f>
        <v>29</v>
      </c>
      <c r="I34" s="23">
        <f t="shared" ca="1" si="10"/>
        <v>45494</v>
      </c>
    </row>
    <row r="35" spans="2:9" x14ac:dyDescent="0.25">
      <c r="B35" s="27">
        <f>B34+1</f>
        <v>30</v>
      </c>
      <c r="C35" s="23">
        <v>44774</v>
      </c>
      <c r="D35" s="2">
        <f t="shared" ca="1" si="1"/>
        <v>0</v>
      </c>
      <c r="E35" s="2" t="str">
        <f t="shared" ca="1" si="4"/>
        <v>PLACEBO</v>
      </c>
      <c r="F35" s="2">
        <f ca="1">SUM($D$6:D35)</f>
        <v>18</v>
      </c>
      <c r="G35" s="2">
        <f t="shared" ca="1" si="0"/>
        <v>12</v>
      </c>
      <c r="H35" s="2">
        <f>COUNT($B$6:B35)</f>
        <v>30</v>
      </c>
      <c r="I35" s="23">
        <f t="shared" ca="1" si="10"/>
        <v>45494</v>
      </c>
    </row>
    <row r="36" spans="2:9" x14ac:dyDescent="0.25">
      <c r="B36" s="27">
        <f>B35+1</f>
        <v>31</v>
      </c>
      <c r="C36" s="23">
        <v>44805</v>
      </c>
      <c r="D36" s="2">
        <f t="shared" ca="1" si="1"/>
        <v>1</v>
      </c>
      <c r="E36" s="2" t="str">
        <f t="shared" ca="1" si="4"/>
        <v>DRUG</v>
      </c>
      <c r="F36" s="2">
        <f ca="1">SUM($D$6:D36)</f>
        <v>19</v>
      </c>
      <c r="G36" s="2">
        <f t="shared" ca="1" si="0"/>
        <v>12</v>
      </c>
      <c r="H36" s="2">
        <f>COUNT($B$6:B36)</f>
        <v>31</v>
      </c>
      <c r="I36" s="23">
        <f t="shared" ca="1" si="10"/>
        <v>45525</v>
      </c>
    </row>
    <row r="37" spans="2:9" x14ac:dyDescent="0.25">
      <c r="B37" s="27">
        <f>B36+1</f>
        <v>32</v>
      </c>
      <c r="C37" s="23">
        <v>44805</v>
      </c>
      <c r="D37" s="2">
        <f t="shared" ca="1" si="1"/>
        <v>1</v>
      </c>
      <c r="E37" s="2" t="str">
        <f t="shared" ca="1" si="4"/>
        <v>DRUG</v>
      </c>
      <c r="F37" s="2">
        <f ca="1">SUM($D$6:D37)</f>
        <v>20</v>
      </c>
      <c r="G37" s="2">
        <f t="shared" ca="1" si="0"/>
        <v>12</v>
      </c>
      <c r="H37" s="2">
        <f>COUNT($B$6:B37)</f>
        <v>32</v>
      </c>
      <c r="I37" s="23">
        <f t="shared" ca="1" si="10"/>
        <v>45525</v>
      </c>
    </row>
    <row r="38" spans="2:9" x14ac:dyDescent="0.25">
      <c r="B38" s="27">
        <f>B37+1</f>
        <v>33</v>
      </c>
      <c r="C38" s="23">
        <v>44805</v>
      </c>
      <c r="D38" s="2">
        <f t="shared" ca="1" si="1"/>
        <v>0</v>
      </c>
      <c r="E38" s="2" t="str">
        <f t="shared" ca="1" si="4"/>
        <v>PLACEBO</v>
      </c>
      <c r="F38" s="2">
        <f ca="1">SUM($D$6:D38)</f>
        <v>20</v>
      </c>
      <c r="G38" s="2">
        <f t="shared" ca="1" si="0"/>
        <v>13</v>
      </c>
      <c r="H38" s="2">
        <f>COUNT($B$6:B38)</f>
        <v>33</v>
      </c>
      <c r="I38" s="23">
        <f t="shared" ca="1" si="10"/>
        <v>45525</v>
      </c>
    </row>
    <row r="39" spans="2:9" x14ac:dyDescent="0.25">
      <c r="B39" s="27">
        <f>B38+1</f>
        <v>34</v>
      </c>
      <c r="C39" s="23">
        <v>44805</v>
      </c>
      <c r="D39" s="2">
        <f t="shared" ca="1" si="1"/>
        <v>0</v>
      </c>
      <c r="E39" s="2" t="str">
        <f t="shared" ca="1" si="4"/>
        <v>PLACEBO</v>
      </c>
      <c r="F39" s="2">
        <f ca="1">SUM($D$6:D39)</f>
        <v>20</v>
      </c>
      <c r="G39" s="2">
        <f t="shared" ca="1" si="0"/>
        <v>14</v>
      </c>
      <c r="H39" s="2">
        <f>COUNT($B$6:B39)</f>
        <v>34</v>
      </c>
      <c r="I39" s="23">
        <f t="shared" ca="1" si="10"/>
        <v>45525</v>
      </c>
    </row>
    <row r="40" spans="2:9" x14ac:dyDescent="0.25">
      <c r="B40" s="27">
        <f>B39+1</f>
        <v>35</v>
      </c>
      <c r="C40" s="23">
        <v>44835</v>
      </c>
      <c r="D40" s="2">
        <f t="shared" ca="1" si="1"/>
        <v>0</v>
      </c>
      <c r="E40" s="2" t="str">
        <f t="shared" ca="1" si="4"/>
        <v>PLACEBO</v>
      </c>
      <c r="F40" s="2">
        <f ca="1">SUM($D$6:D40)</f>
        <v>20</v>
      </c>
      <c r="G40" s="2">
        <f t="shared" ca="1" si="0"/>
        <v>15</v>
      </c>
      <c r="H40" s="2">
        <f>COUNT($B$6:B40)</f>
        <v>35</v>
      </c>
      <c r="I40" s="23">
        <f t="shared" ca="1" si="10"/>
        <v>45555</v>
      </c>
    </row>
    <row r="41" spans="2:9" x14ac:dyDescent="0.25">
      <c r="B41" s="27">
        <f>B40+1</f>
        <v>36</v>
      </c>
      <c r="C41" s="23">
        <v>44835</v>
      </c>
      <c r="D41" s="2">
        <f t="shared" ca="1" si="1"/>
        <v>0</v>
      </c>
      <c r="E41" s="2" t="str">
        <f t="shared" ca="1" si="4"/>
        <v>PLACEBO</v>
      </c>
      <c r="F41" s="2">
        <f ca="1">SUM($D$6:D41)</f>
        <v>20</v>
      </c>
      <c r="G41" s="2">
        <f t="shared" ca="1" si="0"/>
        <v>16</v>
      </c>
      <c r="H41" s="2">
        <f>COUNT($B$6:B41)</f>
        <v>36</v>
      </c>
      <c r="I41" s="23">
        <f t="shared" ca="1" si="10"/>
        <v>45555</v>
      </c>
    </row>
    <row r="42" spans="2:9" x14ac:dyDescent="0.25">
      <c r="B42" s="27">
        <f>B41+1</f>
        <v>37</v>
      </c>
      <c r="C42" s="23">
        <v>44835</v>
      </c>
      <c r="D42" s="2">
        <f t="shared" ca="1" si="1"/>
        <v>0</v>
      </c>
      <c r="E42" s="2" t="str">
        <f t="shared" ca="1" si="4"/>
        <v>PLACEBO</v>
      </c>
      <c r="F42" s="2">
        <f ca="1">SUM($D$6:D42)</f>
        <v>20</v>
      </c>
      <c r="G42" s="2">
        <f t="shared" ca="1" si="0"/>
        <v>17</v>
      </c>
      <c r="H42" s="2">
        <f>COUNT($B$6:B42)</f>
        <v>37</v>
      </c>
      <c r="I42" s="23">
        <f t="shared" ca="1" si="10"/>
        <v>45555</v>
      </c>
    </row>
    <row r="43" spans="2:9" x14ac:dyDescent="0.25">
      <c r="B43" s="27">
        <f>B42+1</f>
        <v>38</v>
      </c>
      <c r="C43" s="23">
        <v>44835</v>
      </c>
      <c r="D43" s="2">
        <f t="shared" ca="1" si="1"/>
        <v>0</v>
      </c>
      <c r="E43" s="2" t="str">
        <f t="shared" ca="1" si="4"/>
        <v>PLACEBO</v>
      </c>
      <c r="F43" s="2">
        <f ca="1">SUM($D$6:D43)</f>
        <v>20</v>
      </c>
      <c r="G43" s="2">
        <f t="shared" ca="1" si="0"/>
        <v>18</v>
      </c>
      <c r="H43" s="2">
        <f>COUNT($B$6:B43)</f>
        <v>38</v>
      </c>
      <c r="I43" s="23">
        <f t="shared" ca="1" si="10"/>
        <v>45555</v>
      </c>
    </row>
    <row r="44" spans="2:9" x14ac:dyDescent="0.25">
      <c r="B44" s="27">
        <f>B43+1</f>
        <v>39</v>
      </c>
      <c r="C44" s="23">
        <v>44866</v>
      </c>
      <c r="D44" s="2">
        <f t="shared" ca="1" si="1"/>
        <v>1</v>
      </c>
      <c r="E44" s="2" t="str">
        <f t="shared" ca="1" si="4"/>
        <v>DRUG</v>
      </c>
      <c r="F44" s="2">
        <f ca="1">SUM($D$6:D44)</f>
        <v>21</v>
      </c>
      <c r="G44" s="2">
        <f t="shared" ca="1" si="0"/>
        <v>18</v>
      </c>
      <c r="H44" s="2">
        <f>COUNT($B$6:B44)</f>
        <v>39</v>
      </c>
      <c r="I44" s="23">
        <f t="shared" ca="1" si="10"/>
        <v>45586</v>
      </c>
    </row>
    <row r="45" spans="2:9" x14ac:dyDescent="0.25">
      <c r="B45" s="27">
        <f>B44+1</f>
        <v>40</v>
      </c>
      <c r="C45" s="23">
        <v>44866</v>
      </c>
      <c r="D45" s="2">
        <f t="shared" ca="1" si="1"/>
        <v>1</v>
      </c>
      <c r="E45" s="2" t="str">
        <f t="shared" ca="1" si="4"/>
        <v>DRUG</v>
      </c>
      <c r="F45" s="2">
        <f ca="1">SUM($D$6:D45)</f>
        <v>22</v>
      </c>
      <c r="G45" s="2">
        <f t="shared" ca="1" si="0"/>
        <v>18</v>
      </c>
      <c r="H45" s="2">
        <f>COUNT($B$6:B45)</f>
        <v>40</v>
      </c>
      <c r="I45" s="23">
        <f t="shared" ca="1" si="10"/>
        <v>45586</v>
      </c>
    </row>
    <row r="46" spans="2:9" x14ac:dyDescent="0.25">
      <c r="B46" s="27">
        <f>B45+1</f>
        <v>41</v>
      </c>
      <c r="C46" s="23">
        <v>44866</v>
      </c>
      <c r="D46" s="2">
        <f t="shared" ca="1" si="1"/>
        <v>0</v>
      </c>
      <c r="E46" s="2" t="str">
        <f t="shared" ca="1" si="4"/>
        <v>PLACEBO</v>
      </c>
      <c r="F46" s="2">
        <f ca="1">SUM($D$6:D46)</f>
        <v>22</v>
      </c>
      <c r="G46" s="2">
        <f t="shared" ca="1" si="0"/>
        <v>19</v>
      </c>
      <c r="H46" s="2">
        <f>COUNT($B$6:B46)</f>
        <v>41</v>
      </c>
      <c r="I46" s="23">
        <f t="shared" ref="I46:I64" ca="1" si="11">IF(D46=1,C46+($C$2*30),C46+($C$3*30))</f>
        <v>45586</v>
      </c>
    </row>
    <row r="47" spans="2:9" x14ac:dyDescent="0.25">
      <c r="B47" s="27">
        <f>B46+1</f>
        <v>42</v>
      </c>
      <c r="C47" s="23">
        <v>44866</v>
      </c>
      <c r="D47" s="2">
        <f t="shared" ca="1" si="1"/>
        <v>0</v>
      </c>
      <c r="E47" s="2" t="str">
        <f t="shared" ca="1" si="4"/>
        <v>PLACEBO</v>
      </c>
      <c r="F47" s="2">
        <f ca="1">SUM($D$6:D47)</f>
        <v>22</v>
      </c>
      <c r="G47" s="2">
        <f t="shared" ca="1" si="0"/>
        <v>20</v>
      </c>
      <c r="H47" s="2">
        <f>COUNT($B$6:B47)</f>
        <v>42</v>
      </c>
      <c r="I47" s="23">
        <f t="shared" ca="1" si="11"/>
        <v>45586</v>
      </c>
    </row>
    <row r="48" spans="2:9" x14ac:dyDescent="0.25">
      <c r="B48" s="27">
        <f>B47+1</f>
        <v>43</v>
      </c>
      <c r="C48" s="23">
        <v>44866</v>
      </c>
      <c r="D48" s="2">
        <f t="shared" ca="1" si="1"/>
        <v>0</v>
      </c>
      <c r="E48" s="2" t="str">
        <f t="shared" ca="1" si="4"/>
        <v>PLACEBO</v>
      </c>
      <c r="F48" s="2">
        <f ca="1">SUM($D$6:D48)</f>
        <v>22</v>
      </c>
      <c r="G48" s="2">
        <f t="shared" ca="1" si="0"/>
        <v>21</v>
      </c>
      <c r="H48" s="2">
        <f>COUNT($B$6:B48)</f>
        <v>43</v>
      </c>
      <c r="I48" s="23">
        <f t="shared" ca="1" si="11"/>
        <v>45586</v>
      </c>
    </row>
    <row r="49" spans="2:9" x14ac:dyDescent="0.25">
      <c r="B49" s="27">
        <f>B48+1</f>
        <v>44</v>
      </c>
      <c r="C49" s="23">
        <v>44896</v>
      </c>
      <c r="D49" s="2">
        <f t="shared" ca="1" si="1"/>
        <v>0</v>
      </c>
      <c r="E49" s="2" t="str">
        <f t="shared" ca="1" si="4"/>
        <v>PLACEBO</v>
      </c>
      <c r="F49" s="2">
        <f ca="1">SUM($D$6:D49)</f>
        <v>22</v>
      </c>
      <c r="G49" s="2">
        <f t="shared" ca="1" si="0"/>
        <v>22</v>
      </c>
      <c r="H49" s="2">
        <f>COUNT($B$6:B49)</f>
        <v>44</v>
      </c>
      <c r="I49" s="23">
        <f t="shared" ca="1" si="11"/>
        <v>45616</v>
      </c>
    </row>
    <row r="50" spans="2:9" x14ac:dyDescent="0.25">
      <c r="B50" s="27">
        <f>B49+1</f>
        <v>45</v>
      </c>
      <c r="C50" s="23">
        <v>44896</v>
      </c>
      <c r="D50" s="2">
        <f t="shared" ca="1" si="1"/>
        <v>1</v>
      </c>
      <c r="E50" s="2" t="str">
        <f t="shared" ca="1" si="4"/>
        <v>DRUG</v>
      </c>
      <c r="F50" s="2">
        <f ca="1">SUM($D$6:D50)</f>
        <v>23</v>
      </c>
      <c r="G50" s="2">
        <f t="shared" ca="1" si="0"/>
        <v>22</v>
      </c>
      <c r="H50" s="2">
        <f>COUNT($B$6:B50)</f>
        <v>45</v>
      </c>
      <c r="I50" s="23">
        <f t="shared" ca="1" si="11"/>
        <v>45616</v>
      </c>
    </row>
    <row r="51" spans="2:9" x14ac:dyDescent="0.25">
      <c r="B51" s="27">
        <f>B50+1</f>
        <v>46</v>
      </c>
      <c r="C51" s="23">
        <v>44896</v>
      </c>
      <c r="D51" s="2">
        <f t="shared" ca="1" si="1"/>
        <v>1</v>
      </c>
      <c r="E51" s="2" t="str">
        <f t="shared" ca="1" si="4"/>
        <v>DRUG</v>
      </c>
      <c r="F51" s="2">
        <f ca="1">SUM($D$6:D51)</f>
        <v>24</v>
      </c>
      <c r="G51" s="2">
        <f t="shared" ca="1" si="0"/>
        <v>22</v>
      </c>
      <c r="H51" s="2">
        <f>COUNT($B$6:B51)</f>
        <v>46</v>
      </c>
      <c r="I51" s="23">
        <f t="shared" ca="1" si="11"/>
        <v>45616</v>
      </c>
    </row>
    <row r="52" spans="2:9" x14ac:dyDescent="0.25">
      <c r="B52" s="27">
        <f>B51+1</f>
        <v>47</v>
      </c>
      <c r="C52" s="23">
        <v>44896</v>
      </c>
      <c r="D52" s="2">
        <f t="shared" ca="1" si="1"/>
        <v>0</v>
      </c>
      <c r="E52" s="2" t="str">
        <f t="shared" ca="1" si="4"/>
        <v>PLACEBO</v>
      </c>
      <c r="F52" s="2">
        <f ca="1">SUM($D$6:D52)</f>
        <v>24</v>
      </c>
      <c r="G52" s="2">
        <f t="shared" ca="1" si="0"/>
        <v>23</v>
      </c>
      <c r="H52" s="2">
        <f>COUNT($B$6:B52)</f>
        <v>47</v>
      </c>
      <c r="I52" s="23">
        <f t="shared" ca="1" si="11"/>
        <v>45616</v>
      </c>
    </row>
    <row r="53" spans="2:9" x14ac:dyDescent="0.25">
      <c r="B53" s="27">
        <f>B52+1</f>
        <v>48</v>
      </c>
      <c r="C53" s="23">
        <v>44896</v>
      </c>
      <c r="D53" s="2">
        <f t="shared" ca="1" si="1"/>
        <v>0</v>
      </c>
      <c r="E53" s="2" t="str">
        <f t="shared" ca="1" si="4"/>
        <v>PLACEBO</v>
      </c>
      <c r="F53" s="2">
        <f ca="1">SUM($D$6:D53)</f>
        <v>24</v>
      </c>
      <c r="G53" s="2">
        <f t="shared" ca="1" si="0"/>
        <v>24</v>
      </c>
      <c r="H53" s="2">
        <f>COUNT($B$6:B53)</f>
        <v>48</v>
      </c>
      <c r="I53" s="23">
        <f t="shared" ca="1" si="11"/>
        <v>45616</v>
      </c>
    </row>
    <row r="54" spans="2:9" x14ac:dyDescent="0.25">
      <c r="B54" s="27">
        <f>B53+1</f>
        <v>49</v>
      </c>
      <c r="C54" s="23">
        <v>44927</v>
      </c>
      <c r="D54" s="2">
        <f t="shared" ca="1" si="1"/>
        <v>1</v>
      </c>
      <c r="E54" s="2" t="str">
        <f t="shared" ca="1" si="4"/>
        <v>DRUG</v>
      </c>
      <c r="F54" s="2">
        <f ca="1">SUM($D$6:D54)</f>
        <v>25</v>
      </c>
      <c r="G54" s="2">
        <f t="shared" ca="1" si="0"/>
        <v>24</v>
      </c>
      <c r="H54" s="2">
        <f>COUNT($B$6:B54)</f>
        <v>49</v>
      </c>
      <c r="I54" s="23">
        <f t="shared" ca="1" si="11"/>
        <v>45647</v>
      </c>
    </row>
    <row r="55" spans="2:9" x14ac:dyDescent="0.25">
      <c r="B55" s="27">
        <f>B54+1</f>
        <v>50</v>
      </c>
      <c r="C55" s="23">
        <v>44927</v>
      </c>
      <c r="D55" s="2">
        <f t="shared" ca="1" si="1"/>
        <v>1</v>
      </c>
      <c r="E55" s="2" t="str">
        <f t="shared" ca="1" si="4"/>
        <v>DRUG</v>
      </c>
      <c r="F55" s="2">
        <f ca="1">SUM($D$6:D55)</f>
        <v>26</v>
      </c>
      <c r="G55" s="2">
        <f t="shared" ca="1" si="0"/>
        <v>24</v>
      </c>
      <c r="H55" s="2">
        <f>COUNT($B$6:B55)</f>
        <v>50</v>
      </c>
      <c r="I55" s="23">
        <f t="shared" ca="1" si="11"/>
        <v>45647</v>
      </c>
    </row>
    <row r="56" spans="2:9" x14ac:dyDescent="0.25">
      <c r="B56" s="27">
        <f>B55+1</f>
        <v>51</v>
      </c>
      <c r="C56" s="23">
        <v>44927</v>
      </c>
      <c r="D56" s="2">
        <f t="shared" ca="1" si="1"/>
        <v>1</v>
      </c>
      <c r="E56" s="2" t="str">
        <f t="shared" ca="1" si="4"/>
        <v>DRUG</v>
      </c>
      <c r="F56" s="2">
        <f ca="1">SUM($D$6:D56)</f>
        <v>27</v>
      </c>
      <c r="G56" s="2">
        <f t="shared" ca="1" si="0"/>
        <v>24</v>
      </c>
      <c r="H56" s="2">
        <f>COUNT($B$6:B56)</f>
        <v>51</v>
      </c>
      <c r="I56" s="23">
        <f t="shared" ca="1" si="11"/>
        <v>45647</v>
      </c>
    </row>
    <row r="57" spans="2:9" x14ac:dyDescent="0.25">
      <c r="B57" s="27">
        <f>B56+1</f>
        <v>52</v>
      </c>
      <c r="C57" s="23">
        <v>44927</v>
      </c>
      <c r="D57" s="2">
        <f t="shared" ca="1" si="1"/>
        <v>0</v>
      </c>
      <c r="E57" s="2" t="str">
        <f t="shared" ca="1" si="4"/>
        <v>PLACEBO</v>
      </c>
      <c r="F57" s="2">
        <f ca="1">SUM($D$6:D57)</f>
        <v>27</v>
      </c>
      <c r="G57" s="2">
        <f t="shared" ca="1" si="0"/>
        <v>25</v>
      </c>
      <c r="H57" s="2">
        <f>COUNT($B$6:B57)</f>
        <v>52</v>
      </c>
      <c r="I57" s="23">
        <f t="shared" ca="1" si="11"/>
        <v>45647</v>
      </c>
    </row>
    <row r="58" spans="2:9" x14ac:dyDescent="0.25">
      <c r="B58" s="27">
        <f>B57+1</f>
        <v>53</v>
      </c>
      <c r="C58" s="23">
        <v>44927</v>
      </c>
      <c r="D58" s="2">
        <f t="shared" ca="1" si="1"/>
        <v>1</v>
      </c>
      <c r="E58" s="2" t="str">
        <f t="shared" ca="1" si="4"/>
        <v>DRUG</v>
      </c>
      <c r="F58" s="2">
        <f ca="1">SUM($D$6:D58)</f>
        <v>28</v>
      </c>
      <c r="G58" s="2">
        <f t="shared" ca="1" si="0"/>
        <v>25</v>
      </c>
      <c r="H58" s="2">
        <f>COUNT($B$6:B58)</f>
        <v>53</v>
      </c>
      <c r="I58" s="23">
        <f t="shared" ca="1" si="11"/>
        <v>45647</v>
      </c>
    </row>
    <row r="59" spans="2:9" x14ac:dyDescent="0.25">
      <c r="B59" s="27">
        <f>B58+1</f>
        <v>54</v>
      </c>
      <c r="C59" s="23">
        <v>44958</v>
      </c>
      <c r="D59" s="2">
        <f t="shared" ca="1" si="1"/>
        <v>1</v>
      </c>
      <c r="E59" s="2" t="str">
        <f t="shared" ca="1" si="4"/>
        <v>DRUG</v>
      </c>
      <c r="F59" s="2">
        <f ca="1">SUM($D$6:D59)</f>
        <v>29</v>
      </c>
      <c r="G59" s="2">
        <f t="shared" ca="1" si="0"/>
        <v>25</v>
      </c>
      <c r="H59" s="2">
        <f>COUNT($B$6:B59)</f>
        <v>54</v>
      </c>
      <c r="I59" s="23">
        <f t="shared" ca="1" si="11"/>
        <v>45678</v>
      </c>
    </row>
    <row r="60" spans="2:9" x14ac:dyDescent="0.25">
      <c r="B60" s="27">
        <f>B59+1</f>
        <v>55</v>
      </c>
      <c r="C60" s="23">
        <v>44958</v>
      </c>
      <c r="D60" s="2">
        <f t="shared" ca="1" si="1"/>
        <v>1</v>
      </c>
      <c r="E60" s="2" t="str">
        <f t="shared" ca="1" si="4"/>
        <v>DRUG</v>
      </c>
      <c r="F60" s="2">
        <f ca="1">SUM($D$6:D60)</f>
        <v>30</v>
      </c>
      <c r="G60" s="2">
        <f t="shared" ca="1" si="0"/>
        <v>25</v>
      </c>
      <c r="H60" s="2">
        <f>COUNT($B$6:B60)</f>
        <v>55</v>
      </c>
      <c r="I60" s="23">
        <f t="shared" ca="1" si="11"/>
        <v>45678</v>
      </c>
    </row>
    <row r="61" spans="2:9" x14ac:dyDescent="0.25">
      <c r="B61" s="27">
        <f>B60+1</f>
        <v>56</v>
      </c>
      <c r="C61" s="23">
        <v>44958</v>
      </c>
      <c r="D61" s="2">
        <f t="shared" ca="1" si="1"/>
        <v>0</v>
      </c>
      <c r="E61" s="2" t="str">
        <f t="shared" ca="1" si="4"/>
        <v>PLACEBO</v>
      </c>
      <c r="F61" s="2">
        <f ca="1">SUM($D$6:D61)</f>
        <v>30</v>
      </c>
      <c r="G61" s="2">
        <f t="shared" ca="1" si="0"/>
        <v>26</v>
      </c>
      <c r="H61" s="2">
        <f>COUNT($B$6:B61)</f>
        <v>56</v>
      </c>
      <c r="I61" s="23">
        <f t="shared" ca="1" si="11"/>
        <v>45678</v>
      </c>
    </row>
    <row r="62" spans="2:9" x14ac:dyDescent="0.25">
      <c r="B62" s="27">
        <f>B61+1</f>
        <v>57</v>
      </c>
      <c r="C62" s="23">
        <v>44958</v>
      </c>
      <c r="D62" s="2">
        <f t="shared" ca="1" si="1"/>
        <v>0</v>
      </c>
      <c r="E62" s="2" t="str">
        <f t="shared" ca="1" si="4"/>
        <v>PLACEBO</v>
      </c>
      <c r="F62" s="2">
        <f ca="1">SUM($D$6:D62)</f>
        <v>30</v>
      </c>
      <c r="G62" s="2">
        <f t="shared" ca="1" si="0"/>
        <v>27</v>
      </c>
      <c r="H62" s="2">
        <f>COUNT($B$6:B62)</f>
        <v>57</v>
      </c>
      <c r="I62" s="23">
        <f t="shared" ca="1" si="11"/>
        <v>45678</v>
      </c>
    </row>
    <row r="63" spans="2:9" x14ac:dyDescent="0.25">
      <c r="B63" s="27">
        <f>B62+1</f>
        <v>58</v>
      </c>
      <c r="C63" s="23">
        <v>44958</v>
      </c>
      <c r="D63" s="2">
        <f t="shared" ca="1" si="1"/>
        <v>0</v>
      </c>
      <c r="E63" s="2" t="str">
        <f t="shared" ca="1" si="4"/>
        <v>PLACEBO</v>
      </c>
      <c r="F63" s="2">
        <f ca="1">SUM($D$6:D63)</f>
        <v>30</v>
      </c>
      <c r="G63" s="2">
        <f t="shared" ca="1" si="0"/>
        <v>28</v>
      </c>
      <c r="H63" s="2">
        <f>COUNT($B$6:B63)</f>
        <v>58</v>
      </c>
      <c r="I63" s="23">
        <f t="shared" ca="1" si="11"/>
        <v>45678</v>
      </c>
    </row>
    <row r="64" spans="2:9" x14ac:dyDescent="0.25">
      <c r="B64" s="27">
        <f>B63+1</f>
        <v>59</v>
      </c>
      <c r="C64" s="23">
        <v>44986</v>
      </c>
      <c r="D64" s="2">
        <f t="shared" ca="1" si="1"/>
        <v>0</v>
      </c>
      <c r="E64" s="2" t="str">
        <f t="shared" ca="1" si="4"/>
        <v>PLACEBO</v>
      </c>
      <c r="F64" s="2">
        <f ca="1">SUM($D$6:D64)</f>
        <v>30</v>
      </c>
      <c r="G64" s="2">
        <f t="shared" ca="1" si="0"/>
        <v>29</v>
      </c>
      <c r="H64" s="2">
        <f>COUNT($B$6:B64)</f>
        <v>59</v>
      </c>
      <c r="I64" s="23">
        <f t="shared" ca="1" si="11"/>
        <v>45706</v>
      </c>
    </row>
    <row r="65" spans="2:9" x14ac:dyDescent="0.25">
      <c r="B65" s="27">
        <f>B64+1</f>
        <v>60</v>
      </c>
      <c r="C65" s="23">
        <v>44986</v>
      </c>
      <c r="D65" s="2">
        <f t="shared" ca="1" si="1"/>
        <v>0</v>
      </c>
      <c r="E65" s="2" t="str">
        <f t="shared" ca="1" si="4"/>
        <v>PLACEBO</v>
      </c>
      <c r="F65" s="2">
        <f ca="1">SUM($D$6:D65)</f>
        <v>30</v>
      </c>
      <c r="G65" s="2">
        <f t="shared" ca="1" si="0"/>
        <v>30</v>
      </c>
      <c r="H65" s="2">
        <f>COUNT($B$6:B65)</f>
        <v>60</v>
      </c>
      <c r="I65" s="23">
        <f t="shared" ref="I65:I66" ca="1" si="12">IF(D65=1,C65+($C$2*30),C65+($C$3*30))</f>
        <v>45706</v>
      </c>
    </row>
    <row r="66" spans="2:9" x14ac:dyDescent="0.25">
      <c r="B66" s="27">
        <f>B65+1</f>
        <v>61</v>
      </c>
      <c r="C66" s="23">
        <v>44986</v>
      </c>
      <c r="D66" s="2">
        <f t="shared" ca="1" si="1"/>
        <v>1</v>
      </c>
      <c r="E66" s="2" t="str">
        <f t="shared" ca="1" si="4"/>
        <v>DRUG</v>
      </c>
      <c r="F66" s="2">
        <f ca="1">SUM($D$6:D66)</f>
        <v>31</v>
      </c>
      <c r="G66" s="2">
        <f t="shared" ca="1" si="0"/>
        <v>30</v>
      </c>
      <c r="H66" s="2">
        <f>COUNT($B$6:B66)</f>
        <v>61</v>
      </c>
      <c r="I66" s="23">
        <f t="shared" ca="1" si="12"/>
        <v>45706</v>
      </c>
    </row>
    <row r="67" spans="2:9" x14ac:dyDescent="0.25">
      <c r="B67" s="27">
        <f>B66+1</f>
        <v>62</v>
      </c>
      <c r="C67" s="23">
        <v>44986</v>
      </c>
      <c r="D67" s="2">
        <f t="shared" ca="1" si="1"/>
        <v>0</v>
      </c>
      <c r="E67" s="2" t="str">
        <f t="shared" ca="1" si="4"/>
        <v>PLACEBO</v>
      </c>
      <c r="F67" s="2">
        <f ca="1">SUM($D$6:D67)</f>
        <v>31</v>
      </c>
      <c r="G67" s="2">
        <f t="shared" ca="1" si="0"/>
        <v>31</v>
      </c>
      <c r="H67" s="2">
        <f>COUNT($B$6:B67)</f>
        <v>62</v>
      </c>
      <c r="I67" s="23">
        <f t="shared" ref="I67:I70" ca="1" si="13">IF(D67=1,C67+($C$2*30),C67+($C$3*30))</f>
        <v>45706</v>
      </c>
    </row>
    <row r="68" spans="2:9" x14ac:dyDescent="0.25">
      <c r="B68" s="27">
        <f>B67+1</f>
        <v>63</v>
      </c>
      <c r="C68" s="23">
        <v>44986</v>
      </c>
      <c r="D68" s="2">
        <f t="shared" ca="1" si="1"/>
        <v>0</v>
      </c>
      <c r="E68" s="2" t="str">
        <f t="shared" ca="1" si="4"/>
        <v>PLACEBO</v>
      </c>
      <c r="F68" s="2">
        <f ca="1">SUM($D$6:D68)</f>
        <v>31</v>
      </c>
      <c r="G68" s="2">
        <f t="shared" ca="1" si="0"/>
        <v>32</v>
      </c>
      <c r="H68" s="2">
        <f>COUNT($B$6:B68)</f>
        <v>63</v>
      </c>
      <c r="I68" s="23">
        <f t="shared" ca="1" si="13"/>
        <v>45706</v>
      </c>
    </row>
    <row r="69" spans="2:9" x14ac:dyDescent="0.25">
      <c r="B69" s="27">
        <f>B68+1</f>
        <v>64</v>
      </c>
      <c r="C69" s="23">
        <v>45017</v>
      </c>
      <c r="D69" s="2">
        <f t="shared" ca="1" si="1"/>
        <v>1</v>
      </c>
      <c r="E69" s="2" t="str">
        <f t="shared" ca="1" si="4"/>
        <v>DRUG</v>
      </c>
      <c r="F69" s="2">
        <f ca="1">SUM($D$6:D69)</f>
        <v>32</v>
      </c>
      <c r="G69" s="2">
        <f t="shared" ca="1" si="0"/>
        <v>32</v>
      </c>
      <c r="H69" s="2">
        <f>COUNT($B$6:B69)</f>
        <v>64</v>
      </c>
      <c r="I69" s="23">
        <f t="shared" ca="1" si="13"/>
        <v>45737</v>
      </c>
    </row>
    <row r="70" spans="2:9" x14ac:dyDescent="0.25">
      <c r="B70" s="27">
        <f>B69+1</f>
        <v>65</v>
      </c>
      <c r="C70" s="23">
        <v>45017</v>
      </c>
      <c r="D70" s="2">
        <f t="shared" ca="1" si="1"/>
        <v>1</v>
      </c>
      <c r="E70" s="2" t="str">
        <f t="shared" ca="1" si="4"/>
        <v>DRUG</v>
      </c>
      <c r="F70" s="2">
        <f ca="1">SUM($D$6:D70)</f>
        <v>33</v>
      </c>
      <c r="G70" s="2">
        <f t="shared" ca="1" si="0"/>
        <v>32</v>
      </c>
      <c r="H70" s="2">
        <f>COUNT($B$6:B70)</f>
        <v>65</v>
      </c>
      <c r="I70" s="23">
        <f t="shared" ca="1" si="13"/>
        <v>45737</v>
      </c>
    </row>
    <row r="71" spans="2:9" x14ac:dyDescent="0.25">
      <c r="B71" s="27">
        <f>B70+1</f>
        <v>66</v>
      </c>
      <c r="C71" s="23">
        <v>45017</v>
      </c>
      <c r="D71" s="2">
        <f t="shared" ca="1" si="1"/>
        <v>0</v>
      </c>
      <c r="E71" s="2" t="str">
        <f t="shared" ca="1" si="4"/>
        <v>PLACEBO</v>
      </c>
      <c r="F71" s="2">
        <f ca="1">SUM($D$6:D71)</f>
        <v>33</v>
      </c>
      <c r="G71" s="2">
        <f t="shared" ca="1" si="0"/>
        <v>33</v>
      </c>
      <c r="H71" s="2">
        <f>COUNT($B$6:B71)</f>
        <v>66</v>
      </c>
      <c r="I71" s="23">
        <f t="shared" ref="I71:I81" ca="1" si="14">IF(D71=1,C71+($C$2*30),C71+($C$3*30))</f>
        <v>45737</v>
      </c>
    </row>
    <row r="72" spans="2:9" x14ac:dyDescent="0.25">
      <c r="B72" s="27">
        <f>B71+1</f>
        <v>67</v>
      </c>
      <c r="C72" s="23">
        <v>45017</v>
      </c>
      <c r="D72" s="2">
        <f t="shared" ref="D72:D132" ca="1" si="15">RANDBETWEEN(0,1)</f>
        <v>1</v>
      </c>
      <c r="E72" s="2" t="str">
        <f t="shared" ca="1" si="4"/>
        <v>DRUG</v>
      </c>
      <c r="F72" s="2">
        <f ca="1">SUM($D$6:D72)</f>
        <v>34</v>
      </c>
      <c r="G72" s="2">
        <f t="shared" ref="G72:G132" ca="1" si="16">+H72-F72</f>
        <v>33</v>
      </c>
      <c r="H72" s="2">
        <f>COUNT($B$6:B72)</f>
        <v>67</v>
      </c>
      <c r="I72" s="23">
        <f t="shared" ca="1" si="14"/>
        <v>45737</v>
      </c>
    </row>
    <row r="73" spans="2:9" x14ac:dyDescent="0.25">
      <c r="B73" s="27">
        <f>B72+1</f>
        <v>68</v>
      </c>
      <c r="C73" s="23">
        <v>45017</v>
      </c>
      <c r="D73" s="2">
        <f t="shared" ca="1" si="15"/>
        <v>1</v>
      </c>
      <c r="E73" s="2" t="str">
        <f t="shared" ca="1" si="4"/>
        <v>DRUG</v>
      </c>
      <c r="F73" s="2">
        <f ca="1">SUM($D$6:D73)</f>
        <v>35</v>
      </c>
      <c r="G73" s="2">
        <f t="shared" ca="1" si="16"/>
        <v>33</v>
      </c>
      <c r="H73" s="2">
        <f>COUNT($B$6:B73)</f>
        <v>68</v>
      </c>
      <c r="I73" s="23">
        <f t="shared" ca="1" si="14"/>
        <v>45737</v>
      </c>
    </row>
    <row r="74" spans="2:9" x14ac:dyDescent="0.25">
      <c r="B74" s="27">
        <f>B73+1</f>
        <v>69</v>
      </c>
      <c r="C74" s="23">
        <v>45047</v>
      </c>
      <c r="D74" s="2">
        <f t="shared" ca="1" si="15"/>
        <v>1</v>
      </c>
      <c r="E74" s="2" t="str">
        <f t="shared" ca="1" si="4"/>
        <v>DRUG</v>
      </c>
      <c r="F74" s="2">
        <f ca="1">SUM($D$6:D74)</f>
        <v>36</v>
      </c>
      <c r="G74" s="2">
        <f t="shared" ca="1" si="16"/>
        <v>33</v>
      </c>
      <c r="H74" s="2">
        <f>COUNT($B$6:B74)</f>
        <v>69</v>
      </c>
      <c r="I74" s="23">
        <f t="shared" ca="1" si="14"/>
        <v>45767</v>
      </c>
    </row>
    <row r="75" spans="2:9" x14ac:dyDescent="0.25">
      <c r="B75" s="27">
        <f>B74+1</f>
        <v>70</v>
      </c>
      <c r="C75" s="23">
        <v>45047</v>
      </c>
      <c r="D75" s="2">
        <f t="shared" ca="1" si="15"/>
        <v>1</v>
      </c>
      <c r="E75" s="2" t="str">
        <f t="shared" ref="E75:E132" ca="1" si="17">IF(D75=0,"PLACEBO","DRUG")</f>
        <v>DRUG</v>
      </c>
      <c r="F75" s="2">
        <f ca="1">SUM($D$6:D75)</f>
        <v>37</v>
      </c>
      <c r="G75" s="2">
        <f t="shared" ca="1" si="16"/>
        <v>33</v>
      </c>
      <c r="H75" s="2">
        <f>COUNT($B$6:B75)</f>
        <v>70</v>
      </c>
      <c r="I75" s="23">
        <f t="shared" ca="1" si="14"/>
        <v>45767</v>
      </c>
    </row>
    <row r="76" spans="2:9" x14ac:dyDescent="0.25">
      <c r="B76" s="27">
        <f>B75+1</f>
        <v>71</v>
      </c>
      <c r="C76" s="23">
        <v>45047</v>
      </c>
      <c r="D76" s="2">
        <f t="shared" ca="1" si="15"/>
        <v>0</v>
      </c>
      <c r="E76" s="2" t="str">
        <f t="shared" ca="1" si="17"/>
        <v>PLACEBO</v>
      </c>
      <c r="F76" s="2">
        <f ca="1">SUM($D$6:D76)</f>
        <v>37</v>
      </c>
      <c r="G76" s="2">
        <f t="shared" ca="1" si="16"/>
        <v>34</v>
      </c>
      <c r="H76" s="2">
        <f>COUNT($B$6:B76)</f>
        <v>71</v>
      </c>
      <c r="I76" s="23">
        <f t="shared" ca="1" si="14"/>
        <v>45767</v>
      </c>
    </row>
    <row r="77" spans="2:9" x14ac:dyDescent="0.25">
      <c r="B77" s="27">
        <f>B76+1</f>
        <v>72</v>
      </c>
      <c r="C77" s="23">
        <v>45047</v>
      </c>
      <c r="D77" s="2">
        <f t="shared" ca="1" si="15"/>
        <v>1</v>
      </c>
      <c r="E77" s="2" t="str">
        <f t="shared" ca="1" si="17"/>
        <v>DRUG</v>
      </c>
      <c r="F77" s="2">
        <f ca="1">SUM($D$6:D77)</f>
        <v>38</v>
      </c>
      <c r="G77" s="2">
        <f t="shared" ca="1" si="16"/>
        <v>34</v>
      </c>
      <c r="H77" s="2">
        <f>COUNT($B$6:B77)</f>
        <v>72</v>
      </c>
      <c r="I77" s="23">
        <f t="shared" ca="1" si="14"/>
        <v>45767</v>
      </c>
    </row>
    <row r="78" spans="2:9" x14ac:dyDescent="0.25">
      <c r="B78" s="27">
        <f>B77+1</f>
        <v>73</v>
      </c>
      <c r="C78" s="23">
        <v>45047</v>
      </c>
      <c r="D78" s="2">
        <f t="shared" ca="1" si="15"/>
        <v>0</v>
      </c>
      <c r="E78" s="2" t="str">
        <f t="shared" ca="1" si="17"/>
        <v>PLACEBO</v>
      </c>
      <c r="F78" s="2">
        <f ca="1">SUM($D$6:D78)</f>
        <v>38</v>
      </c>
      <c r="G78" s="2">
        <f t="shared" ca="1" si="16"/>
        <v>35</v>
      </c>
      <c r="H78" s="2">
        <f>COUNT($B$6:B78)</f>
        <v>73</v>
      </c>
      <c r="I78" s="23">
        <f t="shared" ca="1" si="14"/>
        <v>45767</v>
      </c>
    </row>
    <row r="79" spans="2:9" x14ac:dyDescent="0.25">
      <c r="B79" s="27">
        <f>B78+1</f>
        <v>74</v>
      </c>
      <c r="C79" s="23">
        <v>45078</v>
      </c>
      <c r="D79" s="2">
        <f t="shared" ca="1" si="15"/>
        <v>1</v>
      </c>
      <c r="E79" s="2" t="str">
        <f t="shared" ca="1" si="17"/>
        <v>DRUG</v>
      </c>
      <c r="F79" s="2">
        <f ca="1">SUM($D$6:D79)</f>
        <v>39</v>
      </c>
      <c r="G79" s="2">
        <f t="shared" ca="1" si="16"/>
        <v>35</v>
      </c>
      <c r="H79" s="2">
        <f>COUNT($B$6:B79)</f>
        <v>74</v>
      </c>
      <c r="I79" s="23">
        <f t="shared" ca="1" si="14"/>
        <v>45798</v>
      </c>
    </row>
    <row r="80" spans="2:9" x14ac:dyDescent="0.25">
      <c r="B80" s="27">
        <f>B79+1</f>
        <v>75</v>
      </c>
      <c r="C80" s="23">
        <v>45078</v>
      </c>
      <c r="D80" s="2">
        <f t="shared" ca="1" si="15"/>
        <v>1</v>
      </c>
      <c r="E80" s="2" t="str">
        <f t="shared" ca="1" si="17"/>
        <v>DRUG</v>
      </c>
      <c r="F80" s="2">
        <f ca="1">SUM($D$6:D80)</f>
        <v>40</v>
      </c>
      <c r="G80" s="2">
        <f t="shared" ca="1" si="16"/>
        <v>35</v>
      </c>
      <c r="H80" s="2">
        <f>COUNT($B$6:B80)</f>
        <v>75</v>
      </c>
      <c r="I80" s="23">
        <f t="shared" ca="1" si="14"/>
        <v>45798</v>
      </c>
    </row>
    <row r="81" spans="2:9" x14ac:dyDescent="0.25">
      <c r="B81" s="27">
        <f>B80+1</f>
        <v>76</v>
      </c>
      <c r="C81" s="23">
        <v>45078</v>
      </c>
      <c r="D81" s="2">
        <f t="shared" ca="1" si="15"/>
        <v>0</v>
      </c>
      <c r="E81" s="2" t="str">
        <f t="shared" ca="1" si="17"/>
        <v>PLACEBO</v>
      </c>
      <c r="F81" s="2">
        <f ca="1">SUM($D$6:D81)</f>
        <v>40</v>
      </c>
      <c r="G81" s="2">
        <f t="shared" ca="1" si="16"/>
        <v>36</v>
      </c>
      <c r="H81" s="2">
        <f>COUNT($B$6:B81)</f>
        <v>76</v>
      </c>
      <c r="I81" s="23">
        <f t="shared" ca="1" si="14"/>
        <v>45798</v>
      </c>
    </row>
    <row r="82" spans="2:9" x14ac:dyDescent="0.25">
      <c r="B82" s="27">
        <f>B81+1</f>
        <v>77</v>
      </c>
      <c r="C82" s="23">
        <v>45078</v>
      </c>
      <c r="D82" s="2">
        <f t="shared" ca="1" si="15"/>
        <v>0</v>
      </c>
      <c r="E82" s="2" t="str">
        <f t="shared" ca="1" si="17"/>
        <v>PLACEBO</v>
      </c>
      <c r="F82" s="2">
        <f ca="1">SUM($D$6:D82)</f>
        <v>40</v>
      </c>
      <c r="G82" s="2">
        <f t="shared" ca="1" si="16"/>
        <v>37</v>
      </c>
      <c r="H82" s="2">
        <f>COUNT($B$6:B82)</f>
        <v>77</v>
      </c>
      <c r="I82" s="23">
        <f t="shared" ref="I82:I132" ca="1" si="18">IF(D82=1,C82+($C$2*30),C82+($C$3*30))</f>
        <v>45798</v>
      </c>
    </row>
    <row r="83" spans="2:9" x14ac:dyDescent="0.25">
      <c r="B83" s="27">
        <f>B82+1</f>
        <v>78</v>
      </c>
      <c r="C83" s="23">
        <v>45078</v>
      </c>
      <c r="D83" s="2">
        <f t="shared" ca="1" si="15"/>
        <v>0</v>
      </c>
      <c r="E83" s="2" t="str">
        <f t="shared" ca="1" si="17"/>
        <v>PLACEBO</v>
      </c>
      <c r="F83" s="2">
        <f ca="1">SUM($D$6:D83)</f>
        <v>40</v>
      </c>
      <c r="G83" s="2">
        <f t="shared" ca="1" si="16"/>
        <v>38</v>
      </c>
      <c r="H83" s="2">
        <f>COUNT($B$6:B83)</f>
        <v>78</v>
      </c>
      <c r="I83" s="23">
        <f t="shared" ca="1" si="18"/>
        <v>45798</v>
      </c>
    </row>
    <row r="84" spans="2:9" x14ac:dyDescent="0.25">
      <c r="B84" s="27">
        <f>B83+1</f>
        <v>79</v>
      </c>
      <c r="C84" s="23">
        <v>45108</v>
      </c>
      <c r="D84" s="2">
        <f t="shared" ca="1" si="15"/>
        <v>1</v>
      </c>
      <c r="E84" s="2" t="str">
        <f t="shared" ca="1" si="17"/>
        <v>DRUG</v>
      </c>
      <c r="F84" s="2">
        <f ca="1">SUM($D$6:D84)</f>
        <v>41</v>
      </c>
      <c r="G84" s="2">
        <f t="shared" ca="1" si="16"/>
        <v>38</v>
      </c>
      <c r="H84" s="2">
        <f>COUNT($B$6:B84)</f>
        <v>79</v>
      </c>
      <c r="I84" s="23">
        <f t="shared" ca="1" si="18"/>
        <v>45828</v>
      </c>
    </row>
    <row r="85" spans="2:9" x14ac:dyDescent="0.25">
      <c r="B85" s="27">
        <f>B84+1</f>
        <v>80</v>
      </c>
      <c r="C85" s="23">
        <v>45108</v>
      </c>
      <c r="D85" s="2">
        <f t="shared" ca="1" si="15"/>
        <v>0</v>
      </c>
      <c r="E85" s="2" t="str">
        <f t="shared" ca="1" si="17"/>
        <v>PLACEBO</v>
      </c>
      <c r="F85" s="2">
        <f ca="1">SUM($D$6:D85)</f>
        <v>41</v>
      </c>
      <c r="G85" s="2">
        <f t="shared" ca="1" si="16"/>
        <v>39</v>
      </c>
      <c r="H85" s="2">
        <f>COUNT($B$6:B85)</f>
        <v>80</v>
      </c>
      <c r="I85" s="23">
        <f t="shared" ca="1" si="18"/>
        <v>45828</v>
      </c>
    </row>
    <row r="86" spans="2:9" x14ac:dyDescent="0.25">
      <c r="B86" s="27">
        <f>B85+1</f>
        <v>81</v>
      </c>
      <c r="C86" s="23">
        <v>45108</v>
      </c>
      <c r="D86" s="2">
        <f t="shared" ca="1" si="15"/>
        <v>1</v>
      </c>
      <c r="E86" s="2" t="str">
        <f t="shared" ca="1" si="17"/>
        <v>DRUG</v>
      </c>
      <c r="F86" s="2">
        <f ca="1">SUM($D$6:D86)</f>
        <v>42</v>
      </c>
      <c r="G86" s="2">
        <f t="shared" ca="1" si="16"/>
        <v>39</v>
      </c>
      <c r="H86" s="2">
        <f>COUNT($B$6:B86)</f>
        <v>81</v>
      </c>
      <c r="I86" s="23">
        <f t="shared" ca="1" si="18"/>
        <v>45828</v>
      </c>
    </row>
    <row r="87" spans="2:9" x14ac:dyDescent="0.25">
      <c r="B87" s="27">
        <f>B86+1</f>
        <v>82</v>
      </c>
      <c r="C87" s="23">
        <v>45108</v>
      </c>
      <c r="D87" s="2">
        <f t="shared" ca="1" si="15"/>
        <v>1</v>
      </c>
      <c r="E87" s="2" t="str">
        <f t="shared" ca="1" si="17"/>
        <v>DRUG</v>
      </c>
      <c r="F87" s="2">
        <f ca="1">SUM($D$6:D87)</f>
        <v>43</v>
      </c>
      <c r="G87" s="2">
        <f t="shared" ca="1" si="16"/>
        <v>39</v>
      </c>
      <c r="H87" s="2">
        <f>COUNT($B$6:B87)</f>
        <v>82</v>
      </c>
      <c r="I87" s="23">
        <f t="shared" ca="1" si="18"/>
        <v>45828</v>
      </c>
    </row>
    <row r="88" spans="2:9" x14ac:dyDescent="0.25">
      <c r="B88" s="27">
        <f>B87+1</f>
        <v>83</v>
      </c>
      <c r="C88" s="23">
        <v>45108</v>
      </c>
      <c r="D88" s="2">
        <f t="shared" ca="1" si="15"/>
        <v>0</v>
      </c>
      <c r="E88" s="2" t="str">
        <f t="shared" ca="1" si="17"/>
        <v>PLACEBO</v>
      </c>
      <c r="F88" s="2">
        <f ca="1">SUM($D$6:D88)</f>
        <v>43</v>
      </c>
      <c r="G88" s="2">
        <f t="shared" ca="1" si="16"/>
        <v>40</v>
      </c>
      <c r="H88" s="2">
        <f>COUNT($B$6:B88)</f>
        <v>83</v>
      </c>
      <c r="I88" s="23">
        <f t="shared" ca="1" si="18"/>
        <v>45828</v>
      </c>
    </row>
    <row r="89" spans="2:9" x14ac:dyDescent="0.25">
      <c r="B89" s="27">
        <f>B88+1</f>
        <v>84</v>
      </c>
      <c r="C89" s="23">
        <v>45139</v>
      </c>
      <c r="D89" s="2">
        <f t="shared" ca="1" si="15"/>
        <v>1</v>
      </c>
      <c r="E89" s="2" t="str">
        <f t="shared" ca="1" si="17"/>
        <v>DRUG</v>
      </c>
      <c r="F89" s="2">
        <f ca="1">SUM($D$6:D89)</f>
        <v>44</v>
      </c>
      <c r="G89" s="2">
        <f t="shared" ca="1" si="16"/>
        <v>40</v>
      </c>
      <c r="H89" s="2">
        <f>COUNT($B$6:B89)</f>
        <v>84</v>
      </c>
      <c r="I89" s="23">
        <f t="shared" ca="1" si="18"/>
        <v>45859</v>
      </c>
    </row>
    <row r="90" spans="2:9" x14ac:dyDescent="0.25">
      <c r="B90" s="27">
        <f>B89+1</f>
        <v>85</v>
      </c>
      <c r="C90" s="23">
        <v>45139</v>
      </c>
      <c r="D90" s="2">
        <f t="shared" ca="1" si="15"/>
        <v>1</v>
      </c>
      <c r="E90" s="2" t="str">
        <f t="shared" ca="1" si="17"/>
        <v>DRUG</v>
      </c>
      <c r="F90" s="2">
        <f ca="1">SUM($D$6:D90)</f>
        <v>45</v>
      </c>
      <c r="G90" s="2">
        <f t="shared" ca="1" si="16"/>
        <v>40</v>
      </c>
      <c r="H90" s="2">
        <f>COUNT($B$6:B90)</f>
        <v>85</v>
      </c>
      <c r="I90" s="23">
        <f t="shared" ca="1" si="18"/>
        <v>45859</v>
      </c>
    </row>
    <row r="91" spans="2:9" x14ac:dyDescent="0.25">
      <c r="B91" s="27">
        <f>B90+1</f>
        <v>86</v>
      </c>
      <c r="C91" s="23">
        <v>45139</v>
      </c>
      <c r="D91" s="2">
        <f t="shared" ca="1" si="15"/>
        <v>1</v>
      </c>
      <c r="E91" s="2" t="str">
        <f t="shared" ca="1" si="17"/>
        <v>DRUG</v>
      </c>
      <c r="F91" s="2">
        <f ca="1">SUM($D$6:D91)</f>
        <v>46</v>
      </c>
      <c r="G91" s="2">
        <f t="shared" ca="1" si="16"/>
        <v>40</v>
      </c>
      <c r="H91" s="2">
        <f>COUNT($B$6:B91)</f>
        <v>86</v>
      </c>
      <c r="I91" s="23">
        <f t="shared" ca="1" si="18"/>
        <v>45859</v>
      </c>
    </row>
    <row r="92" spans="2:9" x14ac:dyDescent="0.25">
      <c r="B92" s="27">
        <f>B91+1</f>
        <v>87</v>
      </c>
      <c r="C92" s="23">
        <v>45139</v>
      </c>
      <c r="D92" s="2">
        <f t="shared" ca="1" si="15"/>
        <v>1</v>
      </c>
      <c r="E92" s="2" t="str">
        <f t="shared" ca="1" si="17"/>
        <v>DRUG</v>
      </c>
      <c r="F92" s="2">
        <f ca="1">SUM($D$6:D92)</f>
        <v>47</v>
      </c>
      <c r="G92" s="2">
        <f t="shared" ca="1" si="16"/>
        <v>40</v>
      </c>
      <c r="H92" s="2">
        <f>COUNT($B$6:B92)</f>
        <v>87</v>
      </c>
      <c r="I92" s="23">
        <f t="shared" ca="1" si="18"/>
        <v>45859</v>
      </c>
    </row>
    <row r="93" spans="2:9" x14ac:dyDescent="0.25">
      <c r="B93" s="27">
        <f>B92+1</f>
        <v>88</v>
      </c>
      <c r="C93" s="23">
        <v>45139</v>
      </c>
      <c r="D93" s="2">
        <f t="shared" ca="1" si="15"/>
        <v>0</v>
      </c>
      <c r="E93" s="2" t="str">
        <f t="shared" ca="1" si="17"/>
        <v>PLACEBO</v>
      </c>
      <c r="F93" s="2">
        <f ca="1">SUM($D$6:D93)</f>
        <v>47</v>
      </c>
      <c r="G93" s="2">
        <f t="shared" ca="1" si="16"/>
        <v>41</v>
      </c>
      <c r="H93" s="2">
        <f>COUNT($B$6:B93)</f>
        <v>88</v>
      </c>
      <c r="I93" s="23">
        <f t="shared" ca="1" si="18"/>
        <v>45859</v>
      </c>
    </row>
    <row r="94" spans="2:9" x14ac:dyDescent="0.25">
      <c r="B94" s="27">
        <f>B93+1</f>
        <v>89</v>
      </c>
      <c r="C94" s="23">
        <v>45170</v>
      </c>
      <c r="D94" s="2">
        <f t="shared" ca="1" si="15"/>
        <v>0</v>
      </c>
      <c r="E94" s="2" t="str">
        <f t="shared" ca="1" si="17"/>
        <v>PLACEBO</v>
      </c>
      <c r="F94" s="2">
        <f ca="1">SUM($D$6:D94)</f>
        <v>47</v>
      </c>
      <c r="G94" s="2">
        <f t="shared" ca="1" si="16"/>
        <v>42</v>
      </c>
      <c r="H94" s="2">
        <f>COUNT($B$6:B94)</f>
        <v>89</v>
      </c>
      <c r="I94" s="23">
        <f t="shared" ca="1" si="18"/>
        <v>45890</v>
      </c>
    </row>
    <row r="95" spans="2:9" x14ac:dyDescent="0.25">
      <c r="B95" s="27">
        <f>B94+1</f>
        <v>90</v>
      </c>
      <c r="C95" s="23">
        <v>45170</v>
      </c>
      <c r="D95" s="2">
        <f t="shared" ca="1" si="15"/>
        <v>1</v>
      </c>
      <c r="E95" s="2" t="str">
        <f t="shared" ca="1" si="17"/>
        <v>DRUG</v>
      </c>
      <c r="F95" s="2">
        <f ca="1">SUM($D$6:D95)</f>
        <v>48</v>
      </c>
      <c r="G95" s="2">
        <f t="shared" ca="1" si="16"/>
        <v>42</v>
      </c>
      <c r="H95" s="2">
        <f>COUNT($B$6:B95)</f>
        <v>90</v>
      </c>
      <c r="I95" s="23">
        <f t="shared" ca="1" si="18"/>
        <v>45890</v>
      </c>
    </row>
    <row r="96" spans="2:9" x14ac:dyDescent="0.25">
      <c r="B96" s="27">
        <f>B95+1</f>
        <v>91</v>
      </c>
      <c r="C96" s="23">
        <v>45170</v>
      </c>
      <c r="D96" s="2">
        <f t="shared" ca="1" si="15"/>
        <v>0</v>
      </c>
      <c r="E96" s="2" t="str">
        <f t="shared" ca="1" si="17"/>
        <v>PLACEBO</v>
      </c>
      <c r="F96" s="2">
        <f ca="1">SUM($D$6:D96)</f>
        <v>48</v>
      </c>
      <c r="G96" s="2">
        <f t="shared" ca="1" si="16"/>
        <v>43</v>
      </c>
      <c r="H96" s="2">
        <f>COUNT($B$6:B96)</f>
        <v>91</v>
      </c>
      <c r="I96" s="23">
        <f t="shared" ca="1" si="18"/>
        <v>45890</v>
      </c>
    </row>
    <row r="97" spans="2:9" x14ac:dyDescent="0.25">
      <c r="B97" s="27">
        <f>B96+1</f>
        <v>92</v>
      </c>
      <c r="C97" s="23">
        <v>45170</v>
      </c>
      <c r="D97" s="2">
        <f t="shared" ca="1" si="15"/>
        <v>0</v>
      </c>
      <c r="E97" s="2" t="str">
        <f t="shared" ca="1" si="17"/>
        <v>PLACEBO</v>
      </c>
      <c r="F97" s="2">
        <f ca="1">SUM($D$6:D97)</f>
        <v>48</v>
      </c>
      <c r="G97" s="2">
        <f t="shared" ca="1" si="16"/>
        <v>44</v>
      </c>
      <c r="H97" s="2">
        <f>COUNT($B$6:B97)</f>
        <v>92</v>
      </c>
      <c r="I97" s="23">
        <f t="shared" ca="1" si="18"/>
        <v>45890</v>
      </c>
    </row>
    <row r="98" spans="2:9" x14ac:dyDescent="0.25">
      <c r="B98" s="27">
        <f>B97+1</f>
        <v>93</v>
      </c>
      <c r="C98" s="23">
        <v>45170</v>
      </c>
      <c r="D98" s="2">
        <f t="shared" ca="1" si="15"/>
        <v>1</v>
      </c>
      <c r="E98" s="2" t="str">
        <f t="shared" ca="1" si="17"/>
        <v>DRUG</v>
      </c>
      <c r="F98" s="2">
        <f ca="1">SUM($D$6:D98)</f>
        <v>49</v>
      </c>
      <c r="G98" s="2">
        <f t="shared" ca="1" si="16"/>
        <v>44</v>
      </c>
      <c r="H98" s="2">
        <f>COUNT($B$6:B98)</f>
        <v>93</v>
      </c>
      <c r="I98" s="23">
        <f t="shared" ca="1" si="18"/>
        <v>45890</v>
      </c>
    </row>
    <row r="99" spans="2:9" x14ac:dyDescent="0.25">
      <c r="B99" s="27">
        <f>B98+1</f>
        <v>94</v>
      </c>
      <c r="C99" s="23">
        <v>45200</v>
      </c>
      <c r="D99" s="2">
        <f t="shared" ca="1" si="15"/>
        <v>0</v>
      </c>
      <c r="E99" s="2" t="str">
        <f t="shared" ca="1" si="17"/>
        <v>PLACEBO</v>
      </c>
      <c r="F99" s="2">
        <f ca="1">SUM($D$6:D99)</f>
        <v>49</v>
      </c>
      <c r="G99" s="2">
        <f t="shared" ca="1" si="16"/>
        <v>45</v>
      </c>
      <c r="H99" s="2">
        <f>COUNT($B$6:B99)</f>
        <v>94</v>
      </c>
      <c r="I99" s="23">
        <f t="shared" ca="1" si="18"/>
        <v>45920</v>
      </c>
    </row>
    <row r="100" spans="2:9" x14ac:dyDescent="0.25">
      <c r="B100" s="27">
        <f>B99+1</f>
        <v>95</v>
      </c>
      <c r="C100" s="23">
        <v>45200</v>
      </c>
      <c r="D100" s="2">
        <f t="shared" ca="1" si="15"/>
        <v>0</v>
      </c>
      <c r="E100" s="2" t="str">
        <f t="shared" ca="1" si="17"/>
        <v>PLACEBO</v>
      </c>
      <c r="F100" s="2">
        <f ca="1">SUM($D$6:D100)</f>
        <v>49</v>
      </c>
      <c r="G100" s="2">
        <f t="shared" ca="1" si="16"/>
        <v>46</v>
      </c>
      <c r="H100" s="2">
        <f>COUNT($B$6:B100)</f>
        <v>95</v>
      </c>
      <c r="I100" s="23">
        <f t="shared" ca="1" si="18"/>
        <v>45920</v>
      </c>
    </row>
    <row r="101" spans="2:9" x14ac:dyDescent="0.25">
      <c r="B101" s="27">
        <f>B100+1</f>
        <v>96</v>
      </c>
      <c r="C101" s="23">
        <v>45200</v>
      </c>
      <c r="D101" s="2">
        <f t="shared" ca="1" si="15"/>
        <v>0</v>
      </c>
      <c r="E101" s="2" t="str">
        <f t="shared" ca="1" si="17"/>
        <v>PLACEBO</v>
      </c>
      <c r="F101" s="2">
        <f ca="1">SUM($D$6:D101)</f>
        <v>49</v>
      </c>
      <c r="G101" s="2">
        <f t="shared" ca="1" si="16"/>
        <v>47</v>
      </c>
      <c r="H101" s="2">
        <f>COUNT($B$6:B101)</f>
        <v>96</v>
      </c>
      <c r="I101" s="23">
        <f t="shared" ca="1" si="18"/>
        <v>45920</v>
      </c>
    </row>
    <row r="102" spans="2:9" x14ac:dyDescent="0.25">
      <c r="B102" s="27">
        <f>B101+1</f>
        <v>97</v>
      </c>
      <c r="C102" s="23">
        <v>45200</v>
      </c>
      <c r="D102" s="2">
        <f t="shared" ca="1" si="15"/>
        <v>1</v>
      </c>
      <c r="E102" s="2" t="str">
        <f t="shared" ca="1" si="17"/>
        <v>DRUG</v>
      </c>
      <c r="F102" s="2">
        <f ca="1">SUM($D$6:D102)</f>
        <v>50</v>
      </c>
      <c r="G102" s="2">
        <f t="shared" ca="1" si="16"/>
        <v>47</v>
      </c>
      <c r="H102" s="2">
        <f>COUNT($B$6:B102)</f>
        <v>97</v>
      </c>
      <c r="I102" s="23">
        <f t="shared" ca="1" si="18"/>
        <v>45920</v>
      </c>
    </row>
    <row r="103" spans="2:9" x14ac:dyDescent="0.25">
      <c r="B103" s="27">
        <f>B102+1</f>
        <v>98</v>
      </c>
      <c r="C103" s="23">
        <v>45200</v>
      </c>
      <c r="D103" s="2">
        <f t="shared" ca="1" si="15"/>
        <v>1</v>
      </c>
      <c r="E103" s="2" t="str">
        <f t="shared" ca="1" si="17"/>
        <v>DRUG</v>
      </c>
      <c r="F103" s="2">
        <f ca="1">SUM($D$6:D103)</f>
        <v>51</v>
      </c>
      <c r="G103" s="2">
        <f t="shared" ca="1" si="16"/>
        <v>47</v>
      </c>
      <c r="H103" s="2">
        <f>COUNT($B$6:B103)</f>
        <v>98</v>
      </c>
      <c r="I103" s="23">
        <f t="shared" ca="1" si="18"/>
        <v>45920</v>
      </c>
    </row>
    <row r="104" spans="2:9" x14ac:dyDescent="0.25">
      <c r="B104" s="27">
        <f>B103+1</f>
        <v>99</v>
      </c>
      <c r="C104" s="23">
        <v>45231</v>
      </c>
      <c r="D104" s="2">
        <f t="shared" ca="1" si="15"/>
        <v>1</v>
      </c>
      <c r="E104" s="2" t="str">
        <f t="shared" ca="1" si="17"/>
        <v>DRUG</v>
      </c>
      <c r="F104" s="2">
        <f ca="1">SUM($D$6:D104)</f>
        <v>52</v>
      </c>
      <c r="G104" s="2">
        <f t="shared" ca="1" si="16"/>
        <v>47</v>
      </c>
      <c r="H104" s="2">
        <f>COUNT($B$6:B104)</f>
        <v>99</v>
      </c>
      <c r="I104" s="23">
        <f t="shared" ca="1" si="18"/>
        <v>45951</v>
      </c>
    </row>
    <row r="105" spans="2:9" x14ac:dyDescent="0.25">
      <c r="B105" s="27">
        <f>B104+1</f>
        <v>100</v>
      </c>
      <c r="C105" s="23">
        <v>45231</v>
      </c>
      <c r="D105" s="2">
        <f t="shared" ca="1" si="15"/>
        <v>0</v>
      </c>
      <c r="E105" s="2" t="str">
        <f t="shared" ca="1" si="17"/>
        <v>PLACEBO</v>
      </c>
      <c r="F105" s="2">
        <f ca="1">SUM($D$6:D105)</f>
        <v>52</v>
      </c>
      <c r="G105" s="2">
        <f t="shared" ca="1" si="16"/>
        <v>48</v>
      </c>
      <c r="H105" s="2">
        <f>COUNT($B$6:B105)</f>
        <v>100</v>
      </c>
      <c r="I105" s="23">
        <f t="shared" ca="1" si="18"/>
        <v>45951</v>
      </c>
    </row>
    <row r="106" spans="2:9" x14ac:dyDescent="0.25">
      <c r="B106" s="27">
        <f>B105+1</f>
        <v>101</v>
      </c>
      <c r="C106" s="23">
        <v>45231</v>
      </c>
      <c r="D106" s="2">
        <f t="shared" ca="1" si="15"/>
        <v>0</v>
      </c>
      <c r="E106" s="2" t="str">
        <f t="shared" ca="1" si="17"/>
        <v>PLACEBO</v>
      </c>
      <c r="F106" s="2">
        <f ca="1">SUM($D$6:D106)</f>
        <v>52</v>
      </c>
      <c r="G106" s="2">
        <f t="shared" ca="1" si="16"/>
        <v>49</v>
      </c>
      <c r="H106" s="2">
        <f>COUNT($B$6:B106)</f>
        <v>101</v>
      </c>
      <c r="I106" s="23">
        <f t="shared" ca="1" si="18"/>
        <v>45951</v>
      </c>
    </row>
    <row r="107" spans="2:9" x14ac:dyDescent="0.25">
      <c r="B107" s="27">
        <f>B106+1</f>
        <v>102</v>
      </c>
      <c r="C107" s="23">
        <v>45231</v>
      </c>
      <c r="D107" s="2">
        <f t="shared" ca="1" si="15"/>
        <v>1</v>
      </c>
      <c r="E107" s="2" t="str">
        <f t="shared" ca="1" si="17"/>
        <v>DRUG</v>
      </c>
      <c r="F107" s="2">
        <f ca="1">SUM($D$6:D107)</f>
        <v>53</v>
      </c>
      <c r="G107" s="2">
        <f t="shared" ca="1" si="16"/>
        <v>49</v>
      </c>
      <c r="H107" s="2">
        <f>COUNT($B$6:B107)</f>
        <v>102</v>
      </c>
      <c r="I107" s="23">
        <f t="shared" ca="1" si="18"/>
        <v>45951</v>
      </c>
    </row>
    <row r="108" spans="2:9" x14ac:dyDescent="0.25">
      <c r="B108" s="27">
        <f>B107+1</f>
        <v>103</v>
      </c>
      <c r="C108" s="23">
        <v>45231</v>
      </c>
      <c r="D108" s="2">
        <f t="shared" ca="1" si="15"/>
        <v>1</v>
      </c>
      <c r="E108" s="2" t="str">
        <f t="shared" ca="1" si="17"/>
        <v>DRUG</v>
      </c>
      <c r="F108" s="2">
        <f ca="1">SUM($D$6:D108)</f>
        <v>54</v>
      </c>
      <c r="G108" s="2">
        <f t="shared" ca="1" si="16"/>
        <v>49</v>
      </c>
      <c r="H108" s="2">
        <f>COUNT($B$6:B108)</f>
        <v>103</v>
      </c>
      <c r="I108" s="23">
        <f t="shared" ca="1" si="18"/>
        <v>45951</v>
      </c>
    </row>
    <row r="109" spans="2:9" x14ac:dyDescent="0.25">
      <c r="B109" s="27">
        <f>B108+1</f>
        <v>104</v>
      </c>
      <c r="C109" s="23">
        <v>45261</v>
      </c>
      <c r="D109" s="2">
        <f t="shared" ca="1" si="15"/>
        <v>0</v>
      </c>
      <c r="E109" s="2" t="str">
        <f t="shared" ca="1" si="17"/>
        <v>PLACEBO</v>
      </c>
      <c r="F109" s="2">
        <f ca="1">SUM($D$6:D109)</f>
        <v>54</v>
      </c>
      <c r="G109" s="2">
        <f t="shared" ca="1" si="16"/>
        <v>50</v>
      </c>
      <c r="H109" s="2">
        <f>COUNT($B$6:B109)</f>
        <v>104</v>
      </c>
      <c r="I109" s="23">
        <f t="shared" ca="1" si="18"/>
        <v>45981</v>
      </c>
    </row>
    <row r="110" spans="2:9" x14ac:dyDescent="0.25">
      <c r="B110" s="27">
        <f>B109+1</f>
        <v>105</v>
      </c>
      <c r="C110" s="23">
        <v>45261</v>
      </c>
      <c r="D110" s="2">
        <f t="shared" ca="1" si="15"/>
        <v>1</v>
      </c>
      <c r="E110" s="2" t="str">
        <f t="shared" ca="1" si="17"/>
        <v>DRUG</v>
      </c>
      <c r="F110" s="2">
        <f ca="1">SUM($D$6:D110)</f>
        <v>55</v>
      </c>
      <c r="G110" s="2">
        <f t="shared" ca="1" si="16"/>
        <v>50</v>
      </c>
      <c r="H110" s="2">
        <f>COUNT($B$6:B110)</f>
        <v>105</v>
      </c>
      <c r="I110" s="23">
        <f t="shared" ca="1" si="18"/>
        <v>45981</v>
      </c>
    </row>
    <row r="111" spans="2:9" x14ac:dyDescent="0.25">
      <c r="B111" s="27">
        <f>B110+1</f>
        <v>106</v>
      </c>
      <c r="C111" s="23">
        <v>45261</v>
      </c>
      <c r="D111" s="2">
        <f t="shared" ca="1" si="15"/>
        <v>0</v>
      </c>
      <c r="E111" s="2" t="str">
        <f t="shared" ca="1" si="17"/>
        <v>PLACEBO</v>
      </c>
      <c r="F111" s="2">
        <f ca="1">SUM($D$6:D111)</f>
        <v>55</v>
      </c>
      <c r="G111" s="2">
        <f t="shared" ca="1" si="16"/>
        <v>51</v>
      </c>
      <c r="H111" s="2">
        <f>COUNT($B$6:B111)</f>
        <v>106</v>
      </c>
      <c r="I111" s="23">
        <f t="shared" ca="1" si="18"/>
        <v>45981</v>
      </c>
    </row>
    <row r="112" spans="2:9" x14ac:dyDescent="0.25">
      <c r="B112" s="27">
        <f>B111+1</f>
        <v>107</v>
      </c>
      <c r="C112" s="23">
        <v>45261</v>
      </c>
      <c r="D112" s="2">
        <f t="shared" ca="1" si="15"/>
        <v>1</v>
      </c>
      <c r="E112" s="2" t="str">
        <f t="shared" ca="1" si="17"/>
        <v>DRUG</v>
      </c>
      <c r="F112" s="2">
        <f ca="1">SUM($D$6:D112)</f>
        <v>56</v>
      </c>
      <c r="G112" s="2">
        <f t="shared" ca="1" si="16"/>
        <v>51</v>
      </c>
      <c r="H112" s="2">
        <f>COUNT($B$6:B112)</f>
        <v>107</v>
      </c>
      <c r="I112" s="23">
        <f t="shared" ca="1" si="18"/>
        <v>45981</v>
      </c>
    </row>
    <row r="113" spans="2:9" x14ac:dyDescent="0.25">
      <c r="B113" s="27">
        <f>B112+1</f>
        <v>108</v>
      </c>
      <c r="C113" s="23">
        <v>45261</v>
      </c>
      <c r="D113" s="2">
        <f t="shared" ca="1" si="15"/>
        <v>0</v>
      </c>
      <c r="E113" s="2" t="str">
        <f t="shared" ca="1" si="17"/>
        <v>PLACEBO</v>
      </c>
      <c r="F113" s="2">
        <f ca="1">SUM($D$6:D113)</f>
        <v>56</v>
      </c>
      <c r="G113" s="2">
        <f t="shared" ca="1" si="16"/>
        <v>52</v>
      </c>
      <c r="H113" s="2">
        <f>COUNT($B$6:B113)</f>
        <v>108</v>
      </c>
      <c r="I113" s="23">
        <f t="shared" ca="1" si="18"/>
        <v>45981</v>
      </c>
    </row>
    <row r="114" spans="2:9" x14ac:dyDescent="0.25">
      <c r="B114" s="27">
        <f>B113+1</f>
        <v>109</v>
      </c>
      <c r="C114" s="23">
        <v>45292</v>
      </c>
      <c r="D114" s="2">
        <f t="shared" ca="1" si="15"/>
        <v>0</v>
      </c>
      <c r="E114" s="2" t="str">
        <f t="shared" ca="1" si="17"/>
        <v>PLACEBO</v>
      </c>
      <c r="F114" s="2">
        <f ca="1">SUM($D$6:D114)</f>
        <v>56</v>
      </c>
      <c r="G114" s="2">
        <f t="shared" ca="1" si="16"/>
        <v>53</v>
      </c>
      <c r="H114" s="2">
        <f>COUNT($B$6:B114)</f>
        <v>109</v>
      </c>
      <c r="I114" s="23">
        <f t="shared" ca="1" si="18"/>
        <v>46012</v>
      </c>
    </row>
    <row r="115" spans="2:9" x14ac:dyDescent="0.25">
      <c r="B115" s="27">
        <f>B114+1</f>
        <v>110</v>
      </c>
      <c r="C115" s="23">
        <v>45292</v>
      </c>
      <c r="D115" s="2">
        <f t="shared" ca="1" si="15"/>
        <v>0</v>
      </c>
      <c r="E115" s="2" t="str">
        <f t="shared" ca="1" si="17"/>
        <v>PLACEBO</v>
      </c>
      <c r="F115" s="2">
        <f ca="1">SUM($D$6:D115)</f>
        <v>56</v>
      </c>
      <c r="G115" s="2">
        <f t="shared" ca="1" si="16"/>
        <v>54</v>
      </c>
      <c r="H115" s="2">
        <f>COUNT($B$6:B115)</f>
        <v>110</v>
      </c>
      <c r="I115" s="23">
        <f t="shared" ca="1" si="18"/>
        <v>46012</v>
      </c>
    </row>
    <row r="116" spans="2:9" x14ac:dyDescent="0.25">
      <c r="B116" s="27">
        <f>B115+1</f>
        <v>111</v>
      </c>
      <c r="C116" s="23">
        <v>45292</v>
      </c>
      <c r="D116" s="2">
        <f t="shared" ca="1" si="15"/>
        <v>0</v>
      </c>
      <c r="E116" s="2" t="str">
        <f t="shared" ca="1" si="17"/>
        <v>PLACEBO</v>
      </c>
      <c r="F116" s="2">
        <f ca="1">SUM($D$6:D116)</f>
        <v>56</v>
      </c>
      <c r="G116" s="2">
        <f t="shared" ca="1" si="16"/>
        <v>55</v>
      </c>
      <c r="H116" s="2">
        <f>COUNT($B$6:B116)</f>
        <v>111</v>
      </c>
      <c r="I116" s="23">
        <f t="shared" ca="1" si="18"/>
        <v>46012</v>
      </c>
    </row>
    <row r="117" spans="2:9" x14ac:dyDescent="0.25">
      <c r="B117" s="27">
        <f>B116+1</f>
        <v>112</v>
      </c>
      <c r="C117" s="23">
        <v>45292</v>
      </c>
      <c r="D117" s="2">
        <f t="shared" ca="1" si="15"/>
        <v>1</v>
      </c>
      <c r="E117" s="2" t="str">
        <f t="shared" ca="1" si="17"/>
        <v>DRUG</v>
      </c>
      <c r="F117" s="2">
        <f ca="1">SUM($D$6:D117)</f>
        <v>57</v>
      </c>
      <c r="G117" s="2">
        <f t="shared" ca="1" si="16"/>
        <v>55</v>
      </c>
      <c r="H117" s="2">
        <f>COUNT($B$6:B117)</f>
        <v>112</v>
      </c>
      <c r="I117" s="23">
        <f t="shared" ca="1" si="18"/>
        <v>46012</v>
      </c>
    </row>
    <row r="118" spans="2:9" x14ac:dyDescent="0.25">
      <c r="B118" s="27">
        <f>B117+1</f>
        <v>113</v>
      </c>
      <c r="C118" s="23">
        <v>45292</v>
      </c>
      <c r="D118" s="2">
        <f t="shared" ca="1" si="15"/>
        <v>0</v>
      </c>
      <c r="E118" s="2" t="str">
        <f t="shared" ca="1" si="17"/>
        <v>PLACEBO</v>
      </c>
      <c r="F118" s="2">
        <f ca="1">SUM($D$6:D118)</f>
        <v>57</v>
      </c>
      <c r="G118" s="2">
        <f t="shared" ca="1" si="16"/>
        <v>56</v>
      </c>
      <c r="H118" s="2">
        <f>COUNT($B$6:B118)</f>
        <v>113</v>
      </c>
      <c r="I118" s="23">
        <f t="shared" ca="1" si="18"/>
        <v>46012</v>
      </c>
    </row>
    <row r="119" spans="2:9" x14ac:dyDescent="0.25">
      <c r="B119" s="27">
        <f>B118+1</f>
        <v>114</v>
      </c>
      <c r="C119" s="23">
        <v>45323</v>
      </c>
      <c r="D119" s="2">
        <f t="shared" ca="1" si="15"/>
        <v>1</v>
      </c>
      <c r="E119" s="2" t="str">
        <f t="shared" ca="1" si="17"/>
        <v>DRUG</v>
      </c>
      <c r="F119" s="2">
        <f ca="1">SUM($D$6:D119)</f>
        <v>58</v>
      </c>
      <c r="G119" s="2">
        <f t="shared" ca="1" si="16"/>
        <v>56</v>
      </c>
      <c r="H119" s="2">
        <f>COUNT($B$6:B119)</f>
        <v>114</v>
      </c>
      <c r="I119" s="23">
        <f t="shared" ca="1" si="18"/>
        <v>46043</v>
      </c>
    </row>
    <row r="120" spans="2:9" x14ac:dyDescent="0.25">
      <c r="B120" s="27">
        <f>B119+1</f>
        <v>115</v>
      </c>
      <c r="C120" s="23">
        <v>45323</v>
      </c>
      <c r="D120" s="2">
        <f t="shared" ca="1" si="15"/>
        <v>1</v>
      </c>
      <c r="E120" s="2" t="str">
        <f t="shared" ca="1" si="17"/>
        <v>DRUG</v>
      </c>
      <c r="F120" s="2">
        <f ca="1">SUM($D$6:D120)</f>
        <v>59</v>
      </c>
      <c r="G120" s="2">
        <f t="shared" ca="1" si="16"/>
        <v>56</v>
      </c>
      <c r="H120" s="2">
        <f>COUNT($B$6:B120)</f>
        <v>115</v>
      </c>
      <c r="I120" s="23">
        <f t="shared" ca="1" si="18"/>
        <v>46043</v>
      </c>
    </row>
    <row r="121" spans="2:9" x14ac:dyDescent="0.25">
      <c r="B121" s="27">
        <f>B120+1</f>
        <v>116</v>
      </c>
      <c r="C121" s="23">
        <v>45323</v>
      </c>
      <c r="D121" s="2">
        <f t="shared" ca="1" si="15"/>
        <v>0</v>
      </c>
      <c r="E121" s="2" t="str">
        <f t="shared" ca="1" si="17"/>
        <v>PLACEBO</v>
      </c>
      <c r="F121" s="2">
        <f ca="1">SUM($D$6:D121)</f>
        <v>59</v>
      </c>
      <c r="G121" s="2">
        <f t="shared" ca="1" si="16"/>
        <v>57</v>
      </c>
      <c r="H121" s="2">
        <f>COUNT($B$6:B121)</f>
        <v>116</v>
      </c>
      <c r="I121" s="23">
        <f t="shared" ca="1" si="18"/>
        <v>46043</v>
      </c>
    </row>
    <row r="122" spans="2:9" x14ac:dyDescent="0.25">
      <c r="B122" s="27">
        <f>B121+1</f>
        <v>117</v>
      </c>
      <c r="C122" s="23">
        <v>45323</v>
      </c>
      <c r="D122" s="2">
        <f t="shared" ca="1" si="15"/>
        <v>0</v>
      </c>
      <c r="E122" s="2" t="str">
        <f t="shared" ca="1" si="17"/>
        <v>PLACEBO</v>
      </c>
      <c r="F122" s="2">
        <f ca="1">SUM($D$6:D122)</f>
        <v>59</v>
      </c>
      <c r="G122" s="2">
        <f t="shared" ca="1" si="16"/>
        <v>58</v>
      </c>
      <c r="H122" s="2">
        <f>COUNT($B$6:B122)</f>
        <v>117</v>
      </c>
      <c r="I122" s="23">
        <f t="shared" ca="1" si="18"/>
        <v>46043</v>
      </c>
    </row>
    <row r="123" spans="2:9" x14ac:dyDescent="0.25">
      <c r="B123" s="27">
        <f>B122+1</f>
        <v>118</v>
      </c>
      <c r="C123" s="23">
        <v>45323</v>
      </c>
      <c r="D123" s="2">
        <f t="shared" ca="1" si="15"/>
        <v>1</v>
      </c>
      <c r="E123" s="2" t="str">
        <f t="shared" ca="1" si="17"/>
        <v>DRUG</v>
      </c>
      <c r="F123" s="2">
        <f ca="1">SUM($D$6:D123)</f>
        <v>60</v>
      </c>
      <c r="G123" s="2">
        <f t="shared" ca="1" si="16"/>
        <v>58</v>
      </c>
      <c r="H123" s="2">
        <f>COUNT($B$6:B123)</f>
        <v>118</v>
      </c>
      <c r="I123" s="23">
        <f t="shared" ca="1" si="18"/>
        <v>46043</v>
      </c>
    </row>
    <row r="124" spans="2:9" x14ac:dyDescent="0.25">
      <c r="B124" s="27">
        <f>B123+1</f>
        <v>119</v>
      </c>
      <c r="C124" s="23">
        <v>45352</v>
      </c>
      <c r="D124" s="2">
        <f t="shared" ca="1" si="15"/>
        <v>0</v>
      </c>
      <c r="E124" s="2" t="str">
        <f t="shared" ca="1" si="17"/>
        <v>PLACEBO</v>
      </c>
      <c r="F124" s="2">
        <f ca="1">SUM($D$6:D124)</f>
        <v>60</v>
      </c>
      <c r="G124" s="2">
        <f t="shared" ca="1" si="16"/>
        <v>59</v>
      </c>
      <c r="H124" s="2">
        <f>COUNT($B$6:B124)</f>
        <v>119</v>
      </c>
      <c r="I124" s="23">
        <f t="shared" ca="1" si="18"/>
        <v>46072</v>
      </c>
    </row>
    <row r="125" spans="2:9" x14ac:dyDescent="0.25">
      <c r="B125" s="27">
        <f>B124+1</f>
        <v>120</v>
      </c>
      <c r="C125" s="23">
        <v>45352</v>
      </c>
      <c r="D125" s="2">
        <f t="shared" ca="1" si="15"/>
        <v>0</v>
      </c>
      <c r="E125" s="2" t="str">
        <f t="shared" ca="1" si="17"/>
        <v>PLACEBO</v>
      </c>
      <c r="F125" s="2">
        <f ca="1">SUM($D$6:D125)</f>
        <v>60</v>
      </c>
      <c r="G125" s="2">
        <f t="shared" ca="1" si="16"/>
        <v>60</v>
      </c>
      <c r="H125" s="2">
        <f>COUNT($B$6:B125)</f>
        <v>120</v>
      </c>
      <c r="I125" s="23">
        <f t="shared" ca="1" si="18"/>
        <v>46072</v>
      </c>
    </row>
    <row r="126" spans="2:9" x14ac:dyDescent="0.25">
      <c r="B126" s="27">
        <f>B125+1</f>
        <v>121</v>
      </c>
      <c r="C126" s="23">
        <v>45352</v>
      </c>
      <c r="D126" s="2">
        <f t="shared" ca="1" si="15"/>
        <v>0</v>
      </c>
      <c r="E126" s="2" t="str">
        <f t="shared" ca="1" si="17"/>
        <v>PLACEBO</v>
      </c>
      <c r="F126" s="2">
        <f ca="1">SUM($D$6:D126)</f>
        <v>60</v>
      </c>
      <c r="G126" s="2">
        <f t="shared" ca="1" si="16"/>
        <v>61</v>
      </c>
      <c r="H126" s="2">
        <f>COUNT($B$6:B126)</f>
        <v>121</v>
      </c>
      <c r="I126" s="23">
        <f t="shared" ca="1" si="18"/>
        <v>46072</v>
      </c>
    </row>
    <row r="127" spans="2:9" x14ac:dyDescent="0.25">
      <c r="B127" s="27">
        <f>B126+1</f>
        <v>122</v>
      </c>
      <c r="C127" s="23">
        <v>45352</v>
      </c>
      <c r="D127" s="2">
        <f t="shared" ca="1" si="15"/>
        <v>0</v>
      </c>
      <c r="E127" s="2" t="str">
        <f t="shared" ca="1" si="17"/>
        <v>PLACEBO</v>
      </c>
      <c r="F127" s="2">
        <f ca="1">SUM($D$6:D127)</f>
        <v>60</v>
      </c>
      <c r="G127" s="2">
        <f t="shared" ca="1" si="16"/>
        <v>62</v>
      </c>
      <c r="H127" s="2">
        <f>COUNT($B$6:B127)</f>
        <v>122</v>
      </c>
      <c r="I127" s="23">
        <f t="shared" ca="1" si="18"/>
        <v>46072</v>
      </c>
    </row>
    <row r="128" spans="2:9" x14ac:dyDescent="0.25">
      <c r="B128" s="27">
        <f>B127+1</f>
        <v>123</v>
      </c>
      <c r="C128" s="23">
        <v>45352</v>
      </c>
      <c r="D128" s="2">
        <f t="shared" ca="1" si="15"/>
        <v>1</v>
      </c>
      <c r="E128" s="2" t="str">
        <f t="shared" ca="1" si="17"/>
        <v>DRUG</v>
      </c>
      <c r="F128" s="2">
        <f ca="1">SUM($D$6:D128)</f>
        <v>61</v>
      </c>
      <c r="G128" s="2">
        <f t="shared" ca="1" si="16"/>
        <v>62</v>
      </c>
      <c r="H128" s="2">
        <f>COUNT($B$6:B128)</f>
        <v>123</v>
      </c>
      <c r="I128" s="23">
        <f t="shared" ca="1" si="18"/>
        <v>46072</v>
      </c>
    </row>
    <row r="129" spans="2:9" x14ac:dyDescent="0.25">
      <c r="B129" s="27">
        <f>B128+1</f>
        <v>124</v>
      </c>
      <c r="C129" s="23">
        <v>45383</v>
      </c>
      <c r="D129" s="2">
        <f t="shared" ca="1" si="15"/>
        <v>0</v>
      </c>
      <c r="E129" s="2" t="str">
        <f t="shared" ca="1" si="17"/>
        <v>PLACEBO</v>
      </c>
      <c r="F129" s="2">
        <f ca="1">SUM($D$6:D129)</f>
        <v>61</v>
      </c>
      <c r="G129" s="2">
        <f t="shared" ca="1" si="16"/>
        <v>63</v>
      </c>
      <c r="H129" s="2">
        <f>COUNT($B$6:B129)</f>
        <v>124</v>
      </c>
      <c r="I129" s="23">
        <f t="shared" ca="1" si="18"/>
        <v>46103</v>
      </c>
    </row>
    <row r="130" spans="2:9" x14ac:dyDescent="0.25">
      <c r="B130" s="27">
        <f>B129+1</f>
        <v>125</v>
      </c>
      <c r="C130" s="23">
        <v>45383</v>
      </c>
      <c r="D130" s="2">
        <f t="shared" ca="1" si="15"/>
        <v>1</v>
      </c>
      <c r="E130" s="2" t="str">
        <f t="shared" ca="1" si="17"/>
        <v>DRUG</v>
      </c>
      <c r="F130" s="2">
        <f ca="1">SUM($D$6:D130)</f>
        <v>62</v>
      </c>
      <c r="G130" s="2">
        <f t="shared" ca="1" si="16"/>
        <v>63</v>
      </c>
      <c r="H130" s="2">
        <f>COUNT($B$6:B130)</f>
        <v>125</v>
      </c>
      <c r="I130" s="23">
        <f t="shared" ca="1" si="18"/>
        <v>46103</v>
      </c>
    </row>
    <row r="131" spans="2:9" x14ac:dyDescent="0.25">
      <c r="B131" s="27">
        <f>B130+1</f>
        <v>126</v>
      </c>
      <c r="C131" s="23">
        <v>45383</v>
      </c>
      <c r="D131" s="2">
        <f t="shared" ca="1" si="15"/>
        <v>1</v>
      </c>
      <c r="E131" s="2" t="str">
        <f t="shared" ca="1" si="17"/>
        <v>DRUG</v>
      </c>
      <c r="F131" s="2">
        <f ca="1">SUM($D$6:D131)</f>
        <v>63</v>
      </c>
      <c r="G131" s="2">
        <f t="shared" ca="1" si="16"/>
        <v>63</v>
      </c>
      <c r="H131" s="2">
        <f>COUNT($B$6:B131)</f>
        <v>126</v>
      </c>
      <c r="I131" s="23">
        <f t="shared" ca="1" si="18"/>
        <v>46103</v>
      </c>
    </row>
    <row r="132" spans="2:9" x14ac:dyDescent="0.25">
      <c r="B132" s="27">
        <f>B131+1</f>
        <v>127</v>
      </c>
      <c r="C132" s="23">
        <v>45383</v>
      </c>
      <c r="D132" s="2">
        <f t="shared" ca="1" si="15"/>
        <v>1</v>
      </c>
      <c r="E132" s="2" t="str">
        <f t="shared" ca="1" si="17"/>
        <v>DRUG</v>
      </c>
      <c r="F132" s="2">
        <f ca="1">SUM($D$6:D132)</f>
        <v>64</v>
      </c>
      <c r="G132" s="2">
        <f t="shared" ca="1" si="16"/>
        <v>63</v>
      </c>
      <c r="H132" s="2">
        <f>COUNT($B$6:B132)</f>
        <v>127</v>
      </c>
      <c r="I132" s="23">
        <f t="shared" ca="1" si="18"/>
        <v>46103</v>
      </c>
    </row>
  </sheetData>
  <mergeCells count="1"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1FFE-DB78-4B3A-AF36-399C231B90F6}">
  <dimension ref="B2:L152"/>
  <sheetViews>
    <sheetView workbookViewId="0">
      <pane xSplit="2" ySplit="5" topLeftCell="C114" activePane="bottomRight" state="frozen"/>
      <selection pane="topRight" activeCell="C1" sqref="C1"/>
      <selection pane="bottomLeft" activeCell="A6" sqref="A6"/>
      <selection pane="bottomRight" activeCell="C140" sqref="C140"/>
    </sheetView>
  </sheetViews>
  <sheetFormatPr defaultRowHeight="12.5" x14ac:dyDescent="0.25"/>
  <cols>
    <col min="3" max="3" width="8.90625" bestFit="1" customWidth="1"/>
    <col min="4" max="4" width="0.6328125" customWidth="1"/>
    <col min="6" max="8" width="8.7265625" style="2"/>
    <col min="9" max="9" width="9.90625" style="2" bestFit="1" customWidth="1"/>
    <col min="10" max="12" width="8.7265625" style="8"/>
  </cols>
  <sheetData>
    <row r="2" spans="2:12" x14ac:dyDescent="0.25">
      <c r="B2" t="s">
        <v>126</v>
      </c>
      <c r="C2">
        <v>18</v>
      </c>
      <c r="E2" t="s">
        <v>121</v>
      </c>
    </row>
    <row r="3" spans="2:12" x14ac:dyDescent="0.25">
      <c r="B3" t="s">
        <v>126</v>
      </c>
      <c r="C3">
        <v>18</v>
      </c>
      <c r="E3" t="s">
        <v>115</v>
      </c>
    </row>
    <row r="4" spans="2:12" x14ac:dyDescent="0.25">
      <c r="J4" s="26" t="s">
        <v>112</v>
      </c>
      <c r="K4" s="26"/>
      <c r="L4" s="26"/>
    </row>
    <row r="5" spans="2:12" x14ac:dyDescent="0.25">
      <c r="B5" t="s">
        <v>119</v>
      </c>
      <c r="C5" t="s">
        <v>120</v>
      </c>
      <c r="D5" t="s">
        <v>123</v>
      </c>
      <c r="E5" t="s">
        <v>124</v>
      </c>
      <c r="F5" s="2" t="s">
        <v>121</v>
      </c>
      <c r="G5" s="2" t="s">
        <v>122</v>
      </c>
      <c r="H5" s="2" t="s">
        <v>117</v>
      </c>
      <c r="I5" s="2" t="s">
        <v>125</v>
      </c>
      <c r="J5" s="8" t="s">
        <v>121</v>
      </c>
      <c r="K5" s="8" t="s">
        <v>127</v>
      </c>
      <c r="L5" s="8" t="s">
        <v>117</v>
      </c>
    </row>
    <row r="6" spans="2:12" s="14" customFormat="1" ht="13" x14ac:dyDescent="0.3">
      <c r="B6" s="14">
        <v>1</v>
      </c>
      <c r="C6" s="29">
        <v>44197</v>
      </c>
      <c r="D6" s="14">
        <v>1</v>
      </c>
      <c r="E6" s="14" t="s">
        <v>129</v>
      </c>
      <c r="F6" s="30">
        <v>1</v>
      </c>
      <c r="G6" s="30">
        <v>0</v>
      </c>
      <c r="H6" s="30">
        <v>1</v>
      </c>
      <c r="I6" s="32">
        <v>44737</v>
      </c>
      <c r="J6" s="31">
        <v>0</v>
      </c>
      <c r="K6" s="31">
        <v>0</v>
      </c>
      <c r="L6" s="31">
        <f>+K6+J6</f>
        <v>0</v>
      </c>
    </row>
    <row r="7" spans="2:12" s="14" customFormat="1" ht="13" x14ac:dyDescent="0.3">
      <c r="B7" s="14">
        <v>2</v>
      </c>
      <c r="C7" s="29">
        <v>44228</v>
      </c>
      <c r="D7" s="14">
        <v>1</v>
      </c>
      <c r="E7" s="14" t="s">
        <v>129</v>
      </c>
      <c r="F7" s="30">
        <v>2</v>
      </c>
      <c r="G7" s="30">
        <v>0</v>
      </c>
      <c r="H7" s="30">
        <v>2</v>
      </c>
      <c r="I7" s="32">
        <v>44768</v>
      </c>
      <c r="J7" s="31">
        <v>0</v>
      </c>
      <c r="K7" s="31">
        <v>0</v>
      </c>
      <c r="L7" s="31">
        <f t="shared" ref="L7:L70" si="0">+K7+J7</f>
        <v>0</v>
      </c>
    </row>
    <row r="8" spans="2:12" s="14" customFormat="1" ht="13" x14ac:dyDescent="0.3">
      <c r="B8" s="14">
        <v>3</v>
      </c>
      <c r="C8" s="29">
        <v>44256</v>
      </c>
      <c r="D8" s="14">
        <v>0</v>
      </c>
      <c r="E8" s="14" t="s">
        <v>130</v>
      </c>
      <c r="F8" s="30">
        <v>2</v>
      </c>
      <c r="G8" s="30">
        <v>1</v>
      </c>
      <c r="H8" s="30">
        <v>3</v>
      </c>
      <c r="I8" s="32">
        <v>44796</v>
      </c>
      <c r="J8" s="31">
        <v>0</v>
      </c>
      <c r="K8" s="31">
        <v>0</v>
      </c>
      <c r="L8" s="31">
        <f t="shared" si="0"/>
        <v>0</v>
      </c>
    </row>
    <row r="9" spans="2:12" s="14" customFormat="1" ht="13" x14ac:dyDescent="0.3">
      <c r="B9" s="14">
        <v>4</v>
      </c>
      <c r="C9" s="29">
        <v>44287</v>
      </c>
      <c r="D9" s="14">
        <v>1</v>
      </c>
      <c r="E9" s="14" t="s">
        <v>129</v>
      </c>
      <c r="F9" s="30">
        <v>3</v>
      </c>
      <c r="G9" s="30">
        <v>1</v>
      </c>
      <c r="H9" s="30">
        <v>4</v>
      </c>
      <c r="I9" s="32">
        <v>44827</v>
      </c>
      <c r="J9" s="31">
        <v>0</v>
      </c>
      <c r="K9" s="31">
        <v>0</v>
      </c>
      <c r="L9" s="31">
        <f t="shared" si="0"/>
        <v>0</v>
      </c>
    </row>
    <row r="10" spans="2:12" s="14" customFormat="1" ht="13" x14ac:dyDescent="0.3">
      <c r="B10" s="14">
        <v>5</v>
      </c>
      <c r="C10" s="29">
        <v>44317</v>
      </c>
      <c r="D10" s="14">
        <v>1</v>
      </c>
      <c r="E10" s="14" t="s">
        <v>129</v>
      </c>
      <c r="F10" s="30">
        <v>4</v>
      </c>
      <c r="G10" s="30">
        <v>1</v>
      </c>
      <c r="H10" s="30">
        <v>5</v>
      </c>
      <c r="I10" s="32">
        <v>44857</v>
      </c>
      <c r="J10" s="31">
        <v>0</v>
      </c>
      <c r="K10" s="31">
        <v>0</v>
      </c>
      <c r="L10" s="31">
        <f t="shared" si="0"/>
        <v>0</v>
      </c>
    </row>
    <row r="11" spans="2:12" s="14" customFormat="1" ht="13" x14ac:dyDescent="0.3">
      <c r="B11" s="14">
        <v>6</v>
      </c>
      <c r="C11" s="29">
        <v>44348</v>
      </c>
      <c r="D11" s="14">
        <v>0</v>
      </c>
      <c r="E11" s="14" t="s">
        <v>130</v>
      </c>
      <c r="F11" s="30">
        <v>4</v>
      </c>
      <c r="G11" s="30">
        <v>2</v>
      </c>
      <c r="H11" s="30">
        <v>6</v>
      </c>
      <c r="I11" s="32">
        <v>44888</v>
      </c>
      <c r="J11" s="31">
        <v>0</v>
      </c>
      <c r="K11" s="31">
        <v>0</v>
      </c>
      <c r="L11" s="31">
        <f t="shared" si="0"/>
        <v>0</v>
      </c>
    </row>
    <row r="12" spans="2:12" s="14" customFormat="1" ht="13" x14ac:dyDescent="0.3">
      <c r="B12" s="14">
        <v>7</v>
      </c>
      <c r="C12" s="29">
        <v>44378</v>
      </c>
      <c r="D12" s="14">
        <v>1</v>
      </c>
      <c r="E12" s="14" t="s">
        <v>129</v>
      </c>
      <c r="F12" s="30">
        <v>5</v>
      </c>
      <c r="G12" s="30">
        <v>2</v>
      </c>
      <c r="H12" s="30">
        <v>7</v>
      </c>
      <c r="I12" s="32">
        <v>44918</v>
      </c>
      <c r="J12" s="31">
        <v>0</v>
      </c>
      <c r="K12" s="31">
        <v>0</v>
      </c>
      <c r="L12" s="31">
        <f t="shared" si="0"/>
        <v>0</v>
      </c>
    </row>
    <row r="13" spans="2:12" s="14" customFormat="1" ht="13" x14ac:dyDescent="0.3">
      <c r="B13" s="14">
        <v>8</v>
      </c>
      <c r="C13" s="29">
        <v>44409</v>
      </c>
      <c r="D13" s="14">
        <v>1</v>
      </c>
      <c r="E13" s="14" t="s">
        <v>129</v>
      </c>
      <c r="F13" s="30">
        <v>6</v>
      </c>
      <c r="G13" s="30">
        <v>2</v>
      </c>
      <c r="H13" s="30">
        <v>8</v>
      </c>
      <c r="I13" s="32">
        <v>44949</v>
      </c>
      <c r="J13" s="31">
        <v>0</v>
      </c>
      <c r="K13" s="31">
        <v>0</v>
      </c>
      <c r="L13" s="31">
        <f t="shared" si="0"/>
        <v>0</v>
      </c>
    </row>
    <row r="14" spans="2:12" s="14" customFormat="1" ht="13" x14ac:dyDescent="0.3">
      <c r="B14" s="14">
        <v>9</v>
      </c>
      <c r="C14" s="29">
        <v>44440</v>
      </c>
      <c r="D14" s="14">
        <v>1</v>
      </c>
      <c r="E14" s="14" t="s">
        <v>129</v>
      </c>
      <c r="F14" s="30">
        <v>7</v>
      </c>
      <c r="G14" s="30">
        <v>2</v>
      </c>
      <c r="H14" s="30">
        <v>9</v>
      </c>
      <c r="I14" s="32">
        <v>44980</v>
      </c>
      <c r="J14" s="31">
        <v>0</v>
      </c>
      <c r="K14" s="31">
        <v>0</v>
      </c>
      <c r="L14" s="31">
        <f t="shared" si="0"/>
        <v>0</v>
      </c>
    </row>
    <row r="15" spans="2:12" s="14" customFormat="1" ht="13" x14ac:dyDescent="0.3">
      <c r="B15" s="14">
        <v>10</v>
      </c>
      <c r="C15" s="29">
        <v>44470</v>
      </c>
      <c r="D15" s="14">
        <v>0</v>
      </c>
      <c r="E15" s="14" t="s">
        <v>130</v>
      </c>
      <c r="F15" s="30">
        <v>7</v>
      </c>
      <c r="G15" s="30">
        <v>3</v>
      </c>
      <c r="H15" s="30">
        <v>10</v>
      </c>
      <c r="I15" s="32">
        <v>45010</v>
      </c>
      <c r="J15" s="31">
        <v>0</v>
      </c>
      <c r="K15" s="31">
        <v>0</v>
      </c>
      <c r="L15" s="31">
        <f t="shared" si="0"/>
        <v>0</v>
      </c>
    </row>
    <row r="16" spans="2:12" s="14" customFormat="1" ht="13" x14ac:dyDescent="0.3">
      <c r="B16" s="14">
        <v>11</v>
      </c>
      <c r="C16" s="29">
        <v>44501</v>
      </c>
      <c r="D16" s="14">
        <v>0</v>
      </c>
      <c r="E16" s="14" t="s">
        <v>130</v>
      </c>
      <c r="F16" s="30">
        <v>7</v>
      </c>
      <c r="G16" s="30">
        <v>4</v>
      </c>
      <c r="H16" s="30">
        <v>11</v>
      </c>
      <c r="I16" s="32">
        <v>45041</v>
      </c>
      <c r="J16" s="31">
        <v>0</v>
      </c>
      <c r="K16" s="31">
        <v>0</v>
      </c>
      <c r="L16" s="31">
        <f t="shared" si="0"/>
        <v>0</v>
      </c>
    </row>
    <row r="17" spans="2:12" s="14" customFormat="1" ht="13" x14ac:dyDescent="0.3">
      <c r="B17" s="14">
        <v>12</v>
      </c>
      <c r="C17" s="29">
        <v>44531</v>
      </c>
      <c r="D17" s="14">
        <v>0</v>
      </c>
      <c r="E17" s="14" t="s">
        <v>130</v>
      </c>
      <c r="F17" s="30">
        <v>7</v>
      </c>
      <c r="G17" s="30">
        <v>5</v>
      </c>
      <c r="H17" s="30">
        <v>12</v>
      </c>
      <c r="I17" s="32">
        <v>45071</v>
      </c>
      <c r="J17" s="31">
        <v>0</v>
      </c>
      <c r="K17" s="31">
        <v>0</v>
      </c>
      <c r="L17" s="31">
        <f t="shared" si="0"/>
        <v>0</v>
      </c>
    </row>
    <row r="18" spans="2:12" s="14" customFormat="1" ht="13" x14ac:dyDescent="0.3">
      <c r="B18" s="14">
        <v>13</v>
      </c>
      <c r="C18" s="29">
        <v>44562</v>
      </c>
      <c r="D18" s="14">
        <v>1</v>
      </c>
      <c r="E18" s="14" t="s">
        <v>129</v>
      </c>
      <c r="F18" s="30">
        <v>8</v>
      </c>
      <c r="G18" s="30">
        <v>5</v>
      </c>
      <c r="H18" s="30">
        <v>13</v>
      </c>
      <c r="I18" s="32">
        <v>45102</v>
      </c>
      <c r="J18" s="31">
        <v>0</v>
      </c>
      <c r="K18" s="31">
        <v>0</v>
      </c>
      <c r="L18" s="31">
        <f t="shared" si="0"/>
        <v>0</v>
      </c>
    </row>
    <row r="19" spans="2:12" s="14" customFormat="1" ht="13" x14ac:dyDescent="0.3">
      <c r="B19" s="14">
        <v>14</v>
      </c>
      <c r="C19" s="29">
        <v>44593</v>
      </c>
      <c r="D19" s="14">
        <v>0</v>
      </c>
      <c r="E19" s="14" t="s">
        <v>130</v>
      </c>
      <c r="F19" s="30">
        <v>8</v>
      </c>
      <c r="G19" s="30">
        <v>6</v>
      </c>
      <c r="H19" s="30">
        <v>14</v>
      </c>
      <c r="I19" s="32">
        <v>45133</v>
      </c>
      <c r="J19" s="31">
        <v>0</v>
      </c>
      <c r="K19" s="31">
        <v>0</v>
      </c>
      <c r="L19" s="31">
        <f t="shared" si="0"/>
        <v>0</v>
      </c>
    </row>
    <row r="20" spans="2:12" s="14" customFormat="1" ht="13" x14ac:dyDescent="0.3">
      <c r="B20" s="14">
        <v>15</v>
      </c>
      <c r="C20" s="29">
        <v>44621</v>
      </c>
      <c r="D20" s="14">
        <v>0</v>
      </c>
      <c r="E20" s="14" t="s">
        <v>130</v>
      </c>
      <c r="F20" s="30">
        <v>8</v>
      </c>
      <c r="G20" s="30">
        <v>7</v>
      </c>
      <c r="H20" s="30">
        <v>15</v>
      </c>
      <c r="I20" s="32">
        <v>45161</v>
      </c>
      <c r="J20" s="31">
        <v>0</v>
      </c>
      <c r="K20" s="31">
        <v>0</v>
      </c>
      <c r="L20" s="31">
        <f t="shared" si="0"/>
        <v>0</v>
      </c>
    </row>
    <row r="21" spans="2:12" s="14" customFormat="1" ht="13" x14ac:dyDescent="0.3">
      <c r="B21" s="14">
        <v>16</v>
      </c>
      <c r="C21" s="29">
        <v>44621</v>
      </c>
      <c r="D21" s="14">
        <v>1</v>
      </c>
      <c r="E21" s="14" t="s">
        <v>129</v>
      </c>
      <c r="F21" s="30">
        <v>9</v>
      </c>
      <c r="G21" s="30">
        <v>7</v>
      </c>
      <c r="H21" s="30">
        <v>16</v>
      </c>
      <c r="I21" s="32">
        <v>45161</v>
      </c>
      <c r="J21" s="31">
        <v>0</v>
      </c>
      <c r="K21" s="31">
        <v>0</v>
      </c>
      <c r="L21" s="31">
        <f t="shared" si="0"/>
        <v>0</v>
      </c>
    </row>
    <row r="22" spans="2:12" s="14" customFormat="1" ht="13" x14ac:dyDescent="0.3">
      <c r="B22" s="14">
        <v>17</v>
      </c>
      <c r="C22" s="29">
        <v>44652</v>
      </c>
      <c r="D22" s="14">
        <v>1</v>
      </c>
      <c r="E22" s="14" t="s">
        <v>129</v>
      </c>
      <c r="F22" s="30">
        <v>10</v>
      </c>
      <c r="G22" s="30">
        <v>7</v>
      </c>
      <c r="H22" s="30">
        <v>17</v>
      </c>
      <c r="I22" s="32">
        <v>45192</v>
      </c>
      <c r="J22" s="31">
        <v>0</v>
      </c>
      <c r="K22" s="31">
        <v>0</v>
      </c>
      <c r="L22" s="31">
        <f t="shared" si="0"/>
        <v>0</v>
      </c>
    </row>
    <row r="23" spans="2:12" s="14" customFormat="1" ht="13" x14ac:dyDescent="0.3">
      <c r="B23" s="14">
        <v>18</v>
      </c>
      <c r="C23" s="29">
        <v>44652</v>
      </c>
      <c r="D23" s="14">
        <v>0</v>
      </c>
      <c r="E23" s="14" t="s">
        <v>130</v>
      </c>
      <c r="F23" s="30">
        <v>10</v>
      </c>
      <c r="G23" s="30">
        <v>8</v>
      </c>
      <c r="H23" s="30">
        <v>18</v>
      </c>
      <c r="I23" s="32">
        <v>45192</v>
      </c>
      <c r="J23" s="31">
        <v>0</v>
      </c>
      <c r="K23" s="31">
        <v>0</v>
      </c>
      <c r="L23" s="31">
        <f t="shared" si="0"/>
        <v>0</v>
      </c>
    </row>
    <row r="24" spans="2:12" s="14" customFormat="1" ht="13" x14ac:dyDescent="0.3">
      <c r="B24" s="14">
        <v>19</v>
      </c>
      <c r="C24" s="29">
        <v>44682</v>
      </c>
      <c r="D24" s="14">
        <v>1</v>
      </c>
      <c r="E24" s="14" t="s">
        <v>129</v>
      </c>
      <c r="F24" s="30">
        <v>11</v>
      </c>
      <c r="G24" s="30">
        <v>8</v>
      </c>
      <c r="H24" s="30">
        <v>19</v>
      </c>
      <c r="I24" s="32">
        <v>45222</v>
      </c>
      <c r="J24" s="31">
        <v>0</v>
      </c>
      <c r="K24" s="31">
        <v>0</v>
      </c>
      <c r="L24" s="31">
        <f t="shared" si="0"/>
        <v>0</v>
      </c>
    </row>
    <row r="25" spans="2:12" s="14" customFormat="1" ht="13" x14ac:dyDescent="0.3">
      <c r="B25" s="14">
        <v>20</v>
      </c>
      <c r="C25" s="29">
        <v>44682</v>
      </c>
      <c r="D25" s="14">
        <v>1</v>
      </c>
      <c r="E25" s="14" t="s">
        <v>129</v>
      </c>
      <c r="F25" s="30">
        <v>12</v>
      </c>
      <c r="G25" s="30">
        <v>8</v>
      </c>
      <c r="H25" s="30">
        <v>20</v>
      </c>
      <c r="I25" s="32">
        <v>45222</v>
      </c>
      <c r="J25" s="31">
        <v>0</v>
      </c>
      <c r="K25" s="31">
        <v>0</v>
      </c>
      <c r="L25" s="31">
        <f t="shared" si="0"/>
        <v>0</v>
      </c>
    </row>
    <row r="26" spans="2:12" s="14" customFormat="1" ht="13" x14ac:dyDescent="0.3">
      <c r="B26" s="14">
        <v>21</v>
      </c>
      <c r="C26" s="29">
        <v>44682</v>
      </c>
      <c r="D26" s="14">
        <v>1</v>
      </c>
      <c r="E26" s="14" t="s">
        <v>129</v>
      </c>
      <c r="F26" s="30">
        <v>13</v>
      </c>
      <c r="G26" s="30">
        <v>8</v>
      </c>
      <c r="H26" s="30">
        <v>21</v>
      </c>
      <c r="I26" s="32">
        <v>45222</v>
      </c>
      <c r="J26" s="31">
        <v>0</v>
      </c>
      <c r="K26" s="31">
        <v>0</v>
      </c>
      <c r="L26" s="31">
        <f t="shared" si="0"/>
        <v>0</v>
      </c>
    </row>
    <row r="27" spans="2:12" s="14" customFormat="1" ht="13" x14ac:dyDescent="0.3">
      <c r="B27" s="14">
        <v>22</v>
      </c>
      <c r="C27" s="29">
        <v>44713</v>
      </c>
      <c r="D27" s="14">
        <v>1</v>
      </c>
      <c r="E27" s="14" t="s">
        <v>129</v>
      </c>
      <c r="F27" s="30">
        <v>14</v>
      </c>
      <c r="G27" s="30">
        <v>8</v>
      </c>
      <c r="H27" s="30">
        <v>22</v>
      </c>
      <c r="I27" s="32">
        <v>45253</v>
      </c>
      <c r="J27" s="31">
        <v>0</v>
      </c>
      <c r="K27" s="31">
        <v>0</v>
      </c>
      <c r="L27" s="31">
        <f t="shared" si="0"/>
        <v>0</v>
      </c>
    </row>
    <row r="28" spans="2:12" s="14" customFormat="1" ht="13" x14ac:dyDescent="0.3">
      <c r="B28" s="14">
        <v>23</v>
      </c>
      <c r="C28" s="29">
        <v>44713</v>
      </c>
      <c r="D28" s="14">
        <v>0</v>
      </c>
      <c r="E28" s="14" t="s">
        <v>130</v>
      </c>
      <c r="F28" s="30">
        <v>14</v>
      </c>
      <c r="G28" s="30">
        <v>9</v>
      </c>
      <c r="H28" s="30">
        <v>23</v>
      </c>
      <c r="I28" s="32">
        <v>45253</v>
      </c>
      <c r="J28" s="31">
        <v>0</v>
      </c>
      <c r="K28" s="31">
        <v>0</v>
      </c>
      <c r="L28" s="31">
        <f t="shared" si="0"/>
        <v>0</v>
      </c>
    </row>
    <row r="29" spans="2:12" s="14" customFormat="1" ht="13" x14ac:dyDescent="0.3">
      <c r="B29" s="14">
        <v>24</v>
      </c>
      <c r="C29" s="29">
        <v>44713</v>
      </c>
      <c r="D29" s="14">
        <v>1</v>
      </c>
      <c r="E29" s="14" t="s">
        <v>129</v>
      </c>
      <c r="F29" s="30">
        <v>15</v>
      </c>
      <c r="G29" s="30">
        <v>9</v>
      </c>
      <c r="H29" s="30">
        <v>24</v>
      </c>
      <c r="I29" s="32">
        <v>45253</v>
      </c>
      <c r="J29" s="31">
        <v>1</v>
      </c>
      <c r="K29" s="31">
        <v>0</v>
      </c>
      <c r="L29" s="31">
        <f t="shared" si="0"/>
        <v>1</v>
      </c>
    </row>
    <row r="30" spans="2:12" s="14" customFormat="1" ht="13" x14ac:dyDescent="0.3">
      <c r="B30" s="14">
        <v>25</v>
      </c>
      <c r="C30" s="29">
        <v>44743</v>
      </c>
      <c r="D30" s="14">
        <v>0</v>
      </c>
      <c r="E30" s="14" t="s">
        <v>130</v>
      </c>
      <c r="F30" s="30">
        <v>15</v>
      </c>
      <c r="G30" s="30">
        <v>10</v>
      </c>
      <c r="H30" s="30">
        <v>25</v>
      </c>
      <c r="I30" s="32">
        <v>45283</v>
      </c>
      <c r="J30" s="31">
        <v>1</v>
      </c>
      <c r="K30" s="31">
        <v>0</v>
      </c>
      <c r="L30" s="31">
        <f t="shared" si="0"/>
        <v>1</v>
      </c>
    </row>
    <row r="31" spans="2:12" s="14" customFormat="1" ht="13" x14ac:dyDescent="0.3">
      <c r="B31" s="14">
        <v>26</v>
      </c>
      <c r="C31" s="29">
        <v>44743</v>
      </c>
      <c r="D31" s="14">
        <v>0</v>
      </c>
      <c r="E31" s="14" t="s">
        <v>130</v>
      </c>
      <c r="F31" s="30">
        <v>15</v>
      </c>
      <c r="G31" s="30">
        <v>11</v>
      </c>
      <c r="H31" s="30">
        <v>26</v>
      </c>
      <c r="I31" s="32">
        <v>45283</v>
      </c>
      <c r="J31" s="31">
        <v>2</v>
      </c>
      <c r="K31" s="31">
        <v>0</v>
      </c>
      <c r="L31" s="31">
        <f t="shared" si="0"/>
        <v>2</v>
      </c>
    </row>
    <row r="32" spans="2:12" s="14" customFormat="1" ht="13" x14ac:dyDescent="0.3">
      <c r="B32" s="14">
        <v>27</v>
      </c>
      <c r="C32" s="29">
        <v>44743</v>
      </c>
      <c r="D32" s="14">
        <v>1</v>
      </c>
      <c r="E32" s="14" t="s">
        <v>129</v>
      </c>
      <c r="F32" s="30">
        <v>16</v>
      </c>
      <c r="G32" s="30">
        <v>11</v>
      </c>
      <c r="H32" s="30">
        <v>27</v>
      </c>
      <c r="I32" s="32">
        <v>45283</v>
      </c>
      <c r="J32" s="31">
        <v>2</v>
      </c>
      <c r="K32" s="31">
        <v>0</v>
      </c>
      <c r="L32" s="31">
        <f t="shared" si="0"/>
        <v>2</v>
      </c>
    </row>
    <row r="33" spans="2:12" s="14" customFormat="1" ht="13" x14ac:dyDescent="0.3">
      <c r="B33" s="14">
        <v>28</v>
      </c>
      <c r="C33" s="29">
        <v>44774</v>
      </c>
      <c r="D33" s="14">
        <v>0</v>
      </c>
      <c r="E33" s="14" t="s">
        <v>130</v>
      </c>
      <c r="F33" s="30">
        <v>16</v>
      </c>
      <c r="G33" s="30">
        <v>12</v>
      </c>
      <c r="H33" s="30">
        <v>28</v>
      </c>
      <c r="I33" s="32">
        <v>45314</v>
      </c>
      <c r="J33" s="31">
        <v>2</v>
      </c>
      <c r="K33" s="31">
        <v>0</v>
      </c>
      <c r="L33" s="31">
        <f t="shared" si="0"/>
        <v>2</v>
      </c>
    </row>
    <row r="34" spans="2:12" s="14" customFormat="1" ht="13" x14ac:dyDescent="0.3">
      <c r="B34" s="14">
        <v>29</v>
      </c>
      <c r="C34" s="29">
        <v>44774</v>
      </c>
      <c r="D34" s="14">
        <v>1</v>
      </c>
      <c r="E34" s="14" t="s">
        <v>129</v>
      </c>
      <c r="F34" s="30">
        <v>17</v>
      </c>
      <c r="G34" s="30">
        <v>12</v>
      </c>
      <c r="H34" s="30">
        <v>29</v>
      </c>
      <c r="I34" s="32">
        <v>45314</v>
      </c>
      <c r="J34" s="31">
        <v>2</v>
      </c>
      <c r="K34" s="31">
        <v>1</v>
      </c>
      <c r="L34" s="31">
        <f t="shared" si="0"/>
        <v>3</v>
      </c>
    </row>
    <row r="35" spans="2:12" s="14" customFormat="1" ht="13" x14ac:dyDescent="0.3">
      <c r="B35" s="14">
        <v>30</v>
      </c>
      <c r="C35" s="29">
        <v>44774</v>
      </c>
      <c r="D35" s="14">
        <v>0</v>
      </c>
      <c r="E35" s="14" t="s">
        <v>130</v>
      </c>
      <c r="F35" s="30">
        <v>17</v>
      </c>
      <c r="G35" s="30">
        <v>13</v>
      </c>
      <c r="H35" s="30">
        <v>30</v>
      </c>
      <c r="I35" s="32">
        <v>45314</v>
      </c>
      <c r="J35" s="31">
        <v>2</v>
      </c>
      <c r="K35" s="31">
        <v>1</v>
      </c>
      <c r="L35" s="31">
        <f t="shared" si="0"/>
        <v>3</v>
      </c>
    </row>
    <row r="36" spans="2:12" s="14" customFormat="1" ht="13" x14ac:dyDescent="0.3">
      <c r="B36" s="14">
        <v>31</v>
      </c>
      <c r="C36" s="29">
        <v>44805</v>
      </c>
      <c r="D36" s="14">
        <v>0</v>
      </c>
      <c r="E36" s="14" t="s">
        <v>130</v>
      </c>
      <c r="F36" s="30">
        <v>17</v>
      </c>
      <c r="G36" s="30">
        <v>14</v>
      </c>
      <c r="H36" s="30">
        <v>31</v>
      </c>
      <c r="I36" s="32">
        <v>45345</v>
      </c>
      <c r="J36" s="31">
        <v>3</v>
      </c>
      <c r="K36" s="31">
        <v>1</v>
      </c>
      <c r="L36" s="31">
        <f t="shared" si="0"/>
        <v>4</v>
      </c>
    </row>
    <row r="37" spans="2:12" s="14" customFormat="1" ht="13" x14ac:dyDescent="0.3">
      <c r="B37" s="14">
        <v>32</v>
      </c>
      <c r="C37" s="29">
        <v>44805</v>
      </c>
      <c r="D37" s="14">
        <v>1</v>
      </c>
      <c r="E37" s="14" t="s">
        <v>129</v>
      </c>
      <c r="F37" s="30">
        <v>18</v>
      </c>
      <c r="G37" s="30">
        <v>14</v>
      </c>
      <c r="H37" s="30">
        <v>32</v>
      </c>
      <c r="I37" s="32">
        <v>45345</v>
      </c>
      <c r="J37" s="31">
        <v>3</v>
      </c>
      <c r="K37" s="31">
        <v>1</v>
      </c>
      <c r="L37" s="31">
        <f t="shared" si="0"/>
        <v>4</v>
      </c>
    </row>
    <row r="38" spans="2:12" s="14" customFormat="1" ht="13" x14ac:dyDescent="0.3">
      <c r="B38" s="14">
        <v>33</v>
      </c>
      <c r="C38" s="29">
        <v>44805</v>
      </c>
      <c r="D38" s="14">
        <v>1</v>
      </c>
      <c r="E38" s="14" t="s">
        <v>129</v>
      </c>
      <c r="F38" s="30">
        <v>19</v>
      </c>
      <c r="G38" s="30">
        <v>14</v>
      </c>
      <c r="H38" s="30">
        <v>33</v>
      </c>
      <c r="I38" s="32">
        <v>45345</v>
      </c>
      <c r="J38" s="31">
        <v>3</v>
      </c>
      <c r="K38" s="31">
        <v>1</v>
      </c>
      <c r="L38" s="31">
        <f t="shared" si="0"/>
        <v>4</v>
      </c>
    </row>
    <row r="39" spans="2:12" s="14" customFormat="1" ht="13" x14ac:dyDescent="0.3">
      <c r="B39" s="14">
        <v>34</v>
      </c>
      <c r="C39" s="29">
        <v>44805</v>
      </c>
      <c r="D39" s="14">
        <v>0</v>
      </c>
      <c r="E39" s="14" t="s">
        <v>130</v>
      </c>
      <c r="F39" s="30">
        <v>19</v>
      </c>
      <c r="G39" s="30">
        <v>15</v>
      </c>
      <c r="H39" s="30">
        <v>34</v>
      </c>
      <c r="I39" s="32">
        <v>45345</v>
      </c>
      <c r="J39" s="31">
        <v>3</v>
      </c>
      <c r="K39" s="31">
        <v>1</v>
      </c>
      <c r="L39" s="31">
        <f t="shared" si="0"/>
        <v>4</v>
      </c>
    </row>
    <row r="40" spans="2:12" s="14" customFormat="1" ht="13" x14ac:dyDescent="0.3">
      <c r="B40" s="14">
        <v>35</v>
      </c>
      <c r="C40" s="29">
        <v>44835</v>
      </c>
      <c r="D40" s="14">
        <v>1</v>
      </c>
      <c r="E40" s="14" t="s">
        <v>129</v>
      </c>
      <c r="F40" s="30">
        <v>20</v>
      </c>
      <c r="G40" s="30">
        <v>15</v>
      </c>
      <c r="H40" s="30">
        <v>35</v>
      </c>
      <c r="I40" s="32">
        <v>45375</v>
      </c>
      <c r="J40" s="31">
        <v>4</v>
      </c>
      <c r="K40" s="31">
        <v>1</v>
      </c>
      <c r="L40" s="31">
        <f t="shared" si="0"/>
        <v>5</v>
      </c>
    </row>
    <row r="41" spans="2:12" s="14" customFormat="1" ht="13" x14ac:dyDescent="0.3">
      <c r="B41" s="14">
        <v>36</v>
      </c>
      <c r="C41" s="29">
        <v>44835</v>
      </c>
      <c r="D41" s="14">
        <v>1</v>
      </c>
      <c r="E41" s="14" t="s">
        <v>129</v>
      </c>
      <c r="F41" s="30">
        <v>21</v>
      </c>
      <c r="G41" s="30">
        <v>15</v>
      </c>
      <c r="H41" s="30">
        <v>36</v>
      </c>
      <c r="I41" s="32">
        <v>45375</v>
      </c>
      <c r="J41" s="31">
        <v>4</v>
      </c>
      <c r="K41" s="31">
        <v>1</v>
      </c>
      <c r="L41" s="31">
        <f t="shared" si="0"/>
        <v>5</v>
      </c>
    </row>
    <row r="42" spans="2:12" s="14" customFormat="1" ht="13" x14ac:dyDescent="0.3">
      <c r="B42" s="14">
        <v>37</v>
      </c>
      <c r="C42" s="29">
        <v>44835</v>
      </c>
      <c r="D42" s="14">
        <v>1</v>
      </c>
      <c r="E42" s="14" t="s">
        <v>129</v>
      </c>
      <c r="F42" s="30">
        <v>22</v>
      </c>
      <c r="G42" s="30">
        <v>15</v>
      </c>
      <c r="H42" s="30">
        <v>37</v>
      </c>
      <c r="I42" s="32">
        <v>45375</v>
      </c>
      <c r="J42" s="31">
        <v>4</v>
      </c>
      <c r="K42" s="31">
        <v>1</v>
      </c>
      <c r="L42" s="31">
        <f t="shared" si="0"/>
        <v>5</v>
      </c>
    </row>
    <row r="43" spans="2:12" s="14" customFormat="1" ht="13" x14ac:dyDescent="0.3">
      <c r="B43" s="14">
        <v>38</v>
      </c>
      <c r="C43" s="29">
        <v>44835</v>
      </c>
      <c r="D43" s="14">
        <v>0</v>
      </c>
      <c r="E43" s="14" t="s">
        <v>130</v>
      </c>
      <c r="F43" s="30">
        <v>22</v>
      </c>
      <c r="G43" s="30">
        <v>16</v>
      </c>
      <c r="H43" s="30">
        <v>38</v>
      </c>
      <c r="I43" s="32">
        <v>45375</v>
      </c>
      <c r="J43" s="31">
        <v>4</v>
      </c>
      <c r="K43" s="31">
        <v>1</v>
      </c>
      <c r="L43" s="31">
        <f t="shared" si="0"/>
        <v>5</v>
      </c>
    </row>
    <row r="44" spans="2:12" s="14" customFormat="1" ht="13" x14ac:dyDescent="0.3">
      <c r="B44" s="14">
        <v>39</v>
      </c>
      <c r="C44" s="29">
        <v>44866</v>
      </c>
      <c r="D44" s="14">
        <v>1</v>
      </c>
      <c r="E44" s="14" t="s">
        <v>129</v>
      </c>
      <c r="F44" s="30">
        <v>23</v>
      </c>
      <c r="G44" s="30">
        <v>16</v>
      </c>
      <c r="H44" s="30">
        <v>39</v>
      </c>
      <c r="I44" s="32">
        <v>45406</v>
      </c>
      <c r="J44" s="31">
        <v>4</v>
      </c>
      <c r="K44" s="31">
        <v>2</v>
      </c>
      <c r="L44" s="31">
        <f t="shared" si="0"/>
        <v>6</v>
      </c>
    </row>
    <row r="45" spans="2:12" s="14" customFormat="1" ht="13" x14ac:dyDescent="0.3">
      <c r="B45" s="14">
        <v>40</v>
      </c>
      <c r="C45" s="29">
        <v>44866</v>
      </c>
      <c r="D45" s="14">
        <v>0</v>
      </c>
      <c r="E45" s="14" t="s">
        <v>130</v>
      </c>
      <c r="F45" s="30">
        <v>23</v>
      </c>
      <c r="G45" s="30">
        <v>17</v>
      </c>
      <c r="H45" s="30">
        <v>40</v>
      </c>
      <c r="I45" s="32">
        <v>45406</v>
      </c>
      <c r="J45" s="31">
        <v>4</v>
      </c>
      <c r="K45" s="31">
        <v>2</v>
      </c>
      <c r="L45" s="31">
        <f t="shared" si="0"/>
        <v>6</v>
      </c>
    </row>
    <row r="46" spans="2:12" s="14" customFormat="1" ht="13" x14ac:dyDescent="0.3">
      <c r="B46" s="14">
        <v>41</v>
      </c>
      <c r="C46" s="29">
        <v>44866</v>
      </c>
      <c r="D46" s="14">
        <v>0</v>
      </c>
      <c r="E46" s="14" t="s">
        <v>130</v>
      </c>
      <c r="F46" s="30">
        <v>23</v>
      </c>
      <c r="G46" s="30">
        <v>18</v>
      </c>
      <c r="H46" s="30">
        <v>41</v>
      </c>
      <c r="I46" s="32">
        <v>45406</v>
      </c>
      <c r="J46" s="31">
        <v>4</v>
      </c>
      <c r="K46" s="31">
        <v>2</v>
      </c>
      <c r="L46" s="31">
        <f t="shared" si="0"/>
        <v>6</v>
      </c>
    </row>
    <row r="47" spans="2:12" s="14" customFormat="1" ht="13" x14ac:dyDescent="0.3">
      <c r="B47" s="14">
        <v>42</v>
      </c>
      <c r="C47" s="29">
        <v>44866</v>
      </c>
      <c r="D47" s="14">
        <v>0</v>
      </c>
      <c r="E47" s="14" t="s">
        <v>130</v>
      </c>
      <c r="F47" s="30">
        <v>23</v>
      </c>
      <c r="G47" s="30">
        <v>19</v>
      </c>
      <c r="H47" s="30">
        <v>42</v>
      </c>
      <c r="I47" s="32">
        <v>45406</v>
      </c>
      <c r="J47" s="31">
        <v>4</v>
      </c>
      <c r="K47" s="31">
        <v>2</v>
      </c>
      <c r="L47" s="31">
        <f t="shared" si="0"/>
        <v>6</v>
      </c>
    </row>
    <row r="48" spans="2:12" s="14" customFormat="1" ht="13" x14ac:dyDescent="0.3">
      <c r="B48" s="14">
        <v>43</v>
      </c>
      <c r="C48" s="29">
        <v>44866</v>
      </c>
      <c r="D48" s="14">
        <v>0</v>
      </c>
      <c r="E48" s="14" t="s">
        <v>130</v>
      </c>
      <c r="F48" s="30">
        <v>23</v>
      </c>
      <c r="G48" s="30">
        <v>20</v>
      </c>
      <c r="H48" s="30">
        <v>43</v>
      </c>
      <c r="I48" s="32">
        <v>45406</v>
      </c>
      <c r="J48" s="31">
        <v>4</v>
      </c>
      <c r="K48" s="31">
        <v>2</v>
      </c>
      <c r="L48" s="31">
        <f t="shared" si="0"/>
        <v>6</v>
      </c>
    </row>
    <row r="49" spans="2:12" s="14" customFormat="1" ht="13" x14ac:dyDescent="0.3">
      <c r="B49" s="14">
        <v>44</v>
      </c>
      <c r="C49" s="29">
        <v>44896</v>
      </c>
      <c r="D49" s="14">
        <v>0</v>
      </c>
      <c r="E49" s="14" t="s">
        <v>130</v>
      </c>
      <c r="F49" s="30">
        <v>23</v>
      </c>
      <c r="G49" s="30">
        <v>21</v>
      </c>
      <c r="H49" s="30">
        <v>44</v>
      </c>
      <c r="I49" s="32">
        <v>45436</v>
      </c>
      <c r="J49" s="31">
        <v>5</v>
      </c>
      <c r="K49" s="31">
        <v>2</v>
      </c>
      <c r="L49" s="31">
        <f t="shared" si="0"/>
        <v>7</v>
      </c>
    </row>
    <row r="50" spans="2:12" s="14" customFormat="1" ht="13" x14ac:dyDescent="0.3">
      <c r="B50" s="14">
        <v>45</v>
      </c>
      <c r="C50" s="29">
        <v>44896</v>
      </c>
      <c r="D50" s="14">
        <v>0</v>
      </c>
      <c r="E50" s="14" t="s">
        <v>130</v>
      </c>
      <c r="F50" s="30">
        <v>23</v>
      </c>
      <c r="G50" s="30">
        <v>22</v>
      </c>
      <c r="H50" s="30">
        <v>45</v>
      </c>
      <c r="I50" s="32">
        <v>45436</v>
      </c>
      <c r="J50" s="31">
        <v>5</v>
      </c>
      <c r="K50" s="31">
        <v>2</v>
      </c>
      <c r="L50" s="31">
        <f t="shared" si="0"/>
        <v>7</v>
      </c>
    </row>
    <row r="51" spans="2:12" s="14" customFormat="1" ht="13" x14ac:dyDescent="0.3">
      <c r="B51" s="14">
        <v>46</v>
      </c>
      <c r="C51" s="29">
        <v>44896</v>
      </c>
      <c r="D51" s="14">
        <v>0</v>
      </c>
      <c r="E51" s="14" t="s">
        <v>130</v>
      </c>
      <c r="F51" s="30">
        <v>23</v>
      </c>
      <c r="G51" s="30">
        <v>23</v>
      </c>
      <c r="H51" s="30">
        <v>46</v>
      </c>
      <c r="I51" s="32">
        <v>45436</v>
      </c>
      <c r="J51" s="31">
        <v>5</v>
      </c>
      <c r="K51" s="31">
        <v>2</v>
      </c>
      <c r="L51" s="31">
        <f t="shared" si="0"/>
        <v>7</v>
      </c>
    </row>
    <row r="52" spans="2:12" s="14" customFormat="1" ht="13" x14ac:dyDescent="0.3">
      <c r="B52" s="14">
        <v>47</v>
      </c>
      <c r="C52" s="29">
        <v>44896</v>
      </c>
      <c r="D52" s="14">
        <v>1</v>
      </c>
      <c r="E52" s="14" t="s">
        <v>129</v>
      </c>
      <c r="F52" s="30">
        <v>24</v>
      </c>
      <c r="G52" s="30">
        <v>23</v>
      </c>
      <c r="H52" s="30">
        <v>47</v>
      </c>
      <c r="I52" s="32">
        <v>45436</v>
      </c>
      <c r="J52" s="31">
        <v>5</v>
      </c>
      <c r="K52" s="31">
        <v>2</v>
      </c>
      <c r="L52" s="31">
        <f t="shared" si="0"/>
        <v>7</v>
      </c>
    </row>
    <row r="53" spans="2:12" s="14" customFormat="1" ht="13" x14ac:dyDescent="0.3">
      <c r="B53" s="14">
        <v>48</v>
      </c>
      <c r="C53" s="29">
        <v>44896</v>
      </c>
      <c r="D53" s="14">
        <v>0</v>
      </c>
      <c r="E53" s="14" t="s">
        <v>130</v>
      </c>
      <c r="F53" s="30">
        <v>24</v>
      </c>
      <c r="G53" s="30">
        <v>24</v>
      </c>
      <c r="H53" s="30">
        <v>48</v>
      </c>
      <c r="I53" s="32">
        <v>45436</v>
      </c>
      <c r="J53" s="31">
        <v>5</v>
      </c>
      <c r="K53" s="31">
        <v>2</v>
      </c>
      <c r="L53" s="31">
        <f t="shared" si="0"/>
        <v>7</v>
      </c>
    </row>
    <row r="54" spans="2:12" s="14" customFormat="1" ht="13" x14ac:dyDescent="0.3">
      <c r="B54" s="14">
        <v>49</v>
      </c>
      <c r="C54" s="29">
        <v>44927</v>
      </c>
      <c r="D54" s="14">
        <v>1</v>
      </c>
      <c r="E54" s="14" t="s">
        <v>129</v>
      </c>
      <c r="F54" s="30">
        <v>25</v>
      </c>
      <c r="G54" s="30">
        <v>24</v>
      </c>
      <c r="H54" s="30">
        <v>49</v>
      </c>
      <c r="I54" s="32">
        <v>45467</v>
      </c>
      <c r="J54" s="31">
        <v>6</v>
      </c>
      <c r="K54" s="31">
        <v>2</v>
      </c>
      <c r="L54" s="31">
        <f t="shared" si="0"/>
        <v>8</v>
      </c>
    </row>
    <row r="55" spans="2:12" s="14" customFormat="1" ht="13" x14ac:dyDescent="0.3">
      <c r="B55" s="14">
        <v>50</v>
      </c>
      <c r="C55" s="29">
        <v>44927</v>
      </c>
      <c r="D55" s="14">
        <v>1</v>
      </c>
      <c r="E55" s="14" t="s">
        <v>129</v>
      </c>
      <c r="F55" s="30">
        <v>26</v>
      </c>
      <c r="G55" s="30">
        <v>24</v>
      </c>
      <c r="H55" s="30">
        <v>50</v>
      </c>
      <c r="I55" s="32">
        <v>45467</v>
      </c>
      <c r="J55" s="31">
        <v>6</v>
      </c>
      <c r="K55" s="31">
        <v>2</v>
      </c>
      <c r="L55" s="31">
        <f t="shared" si="0"/>
        <v>8</v>
      </c>
    </row>
    <row r="56" spans="2:12" s="14" customFormat="1" ht="13" x14ac:dyDescent="0.3">
      <c r="B56" s="14">
        <v>51</v>
      </c>
      <c r="C56" s="29">
        <v>44927</v>
      </c>
      <c r="D56" s="14">
        <v>0</v>
      </c>
      <c r="E56" s="14" t="s">
        <v>130</v>
      </c>
      <c r="F56" s="30">
        <v>26</v>
      </c>
      <c r="G56" s="30">
        <v>25</v>
      </c>
      <c r="H56" s="30">
        <v>51</v>
      </c>
      <c r="I56" s="32">
        <v>45467</v>
      </c>
      <c r="J56" s="31">
        <v>6</v>
      </c>
      <c r="K56" s="31">
        <v>2</v>
      </c>
      <c r="L56" s="31">
        <f t="shared" si="0"/>
        <v>8</v>
      </c>
    </row>
    <row r="57" spans="2:12" s="14" customFormat="1" ht="13" x14ac:dyDescent="0.3">
      <c r="B57" s="14">
        <v>52</v>
      </c>
      <c r="C57" s="29">
        <v>44927</v>
      </c>
      <c r="D57" s="14">
        <v>1</v>
      </c>
      <c r="E57" s="14" t="s">
        <v>129</v>
      </c>
      <c r="F57" s="30">
        <v>27</v>
      </c>
      <c r="G57" s="30">
        <v>25</v>
      </c>
      <c r="H57" s="30">
        <v>52</v>
      </c>
      <c r="I57" s="32">
        <v>45467</v>
      </c>
      <c r="J57" s="31">
        <v>6</v>
      </c>
      <c r="K57" s="31">
        <v>2</v>
      </c>
      <c r="L57" s="31">
        <f t="shared" si="0"/>
        <v>8</v>
      </c>
    </row>
    <row r="58" spans="2:12" s="14" customFormat="1" ht="13" x14ac:dyDescent="0.3">
      <c r="B58" s="14">
        <v>53</v>
      </c>
      <c r="C58" s="29">
        <v>44927</v>
      </c>
      <c r="D58" s="14">
        <v>0</v>
      </c>
      <c r="E58" s="14" t="s">
        <v>130</v>
      </c>
      <c r="F58" s="30">
        <v>27</v>
      </c>
      <c r="G58" s="30">
        <v>26</v>
      </c>
      <c r="H58" s="30">
        <v>53</v>
      </c>
      <c r="I58" s="32">
        <v>45467</v>
      </c>
      <c r="J58" s="31">
        <v>6</v>
      </c>
      <c r="K58" s="31">
        <v>2</v>
      </c>
      <c r="L58" s="31">
        <f t="shared" si="0"/>
        <v>8</v>
      </c>
    </row>
    <row r="59" spans="2:12" s="14" customFormat="1" ht="13" x14ac:dyDescent="0.3">
      <c r="B59" s="14">
        <v>54</v>
      </c>
      <c r="C59" s="29">
        <v>44958</v>
      </c>
      <c r="D59" s="14">
        <v>0</v>
      </c>
      <c r="E59" s="14" t="s">
        <v>130</v>
      </c>
      <c r="F59" s="30">
        <v>27</v>
      </c>
      <c r="G59" s="30">
        <v>27</v>
      </c>
      <c r="H59" s="30">
        <v>54</v>
      </c>
      <c r="I59" s="32">
        <v>45498</v>
      </c>
      <c r="J59" s="31">
        <v>7</v>
      </c>
      <c r="K59" s="31">
        <v>2</v>
      </c>
      <c r="L59" s="31">
        <f t="shared" si="0"/>
        <v>9</v>
      </c>
    </row>
    <row r="60" spans="2:12" s="14" customFormat="1" ht="13" x14ac:dyDescent="0.3">
      <c r="B60" s="14">
        <v>55</v>
      </c>
      <c r="C60" s="29">
        <v>44958</v>
      </c>
      <c r="D60" s="14">
        <v>0</v>
      </c>
      <c r="E60" s="14" t="s">
        <v>130</v>
      </c>
      <c r="F60" s="30">
        <v>27</v>
      </c>
      <c r="G60" s="30">
        <v>28</v>
      </c>
      <c r="H60" s="30">
        <v>55</v>
      </c>
      <c r="I60" s="32">
        <v>45498</v>
      </c>
      <c r="J60" s="31">
        <v>7</v>
      </c>
      <c r="K60" s="31">
        <v>2</v>
      </c>
      <c r="L60" s="31">
        <f t="shared" si="0"/>
        <v>9</v>
      </c>
    </row>
    <row r="61" spans="2:12" s="14" customFormat="1" ht="13" x14ac:dyDescent="0.3">
      <c r="B61" s="14">
        <v>56</v>
      </c>
      <c r="C61" s="29">
        <v>44958</v>
      </c>
      <c r="D61" s="14">
        <v>0</v>
      </c>
      <c r="E61" s="14" t="s">
        <v>130</v>
      </c>
      <c r="F61" s="30">
        <v>27</v>
      </c>
      <c r="G61" s="30">
        <v>29</v>
      </c>
      <c r="H61" s="30">
        <v>56</v>
      </c>
      <c r="I61" s="32">
        <v>45498</v>
      </c>
      <c r="J61" s="31">
        <v>7</v>
      </c>
      <c r="K61" s="31">
        <v>2</v>
      </c>
      <c r="L61" s="31">
        <f t="shared" si="0"/>
        <v>9</v>
      </c>
    </row>
    <row r="62" spans="2:12" s="14" customFormat="1" ht="13" x14ac:dyDescent="0.3">
      <c r="B62" s="14">
        <v>57</v>
      </c>
      <c r="C62" s="29">
        <v>44958</v>
      </c>
      <c r="D62" s="14">
        <v>1</v>
      </c>
      <c r="E62" s="14" t="s">
        <v>129</v>
      </c>
      <c r="F62" s="30">
        <v>28</v>
      </c>
      <c r="G62" s="30">
        <v>29</v>
      </c>
      <c r="H62" s="30">
        <v>57</v>
      </c>
      <c r="I62" s="32">
        <v>45498</v>
      </c>
      <c r="J62" s="31">
        <v>7</v>
      </c>
      <c r="K62" s="31">
        <v>2</v>
      </c>
      <c r="L62" s="31">
        <f t="shared" si="0"/>
        <v>9</v>
      </c>
    </row>
    <row r="63" spans="2:12" s="14" customFormat="1" ht="13" x14ac:dyDescent="0.3">
      <c r="B63" s="14">
        <v>58</v>
      </c>
      <c r="C63" s="29">
        <v>44958</v>
      </c>
      <c r="D63" s="14">
        <v>1</v>
      </c>
      <c r="E63" s="14" t="s">
        <v>129</v>
      </c>
      <c r="F63" s="30">
        <v>29</v>
      </c>
      <c r="G63" s="30">
        <v>29</v>
      </c>
      <c r="H63" s="30">
        <v>58</v>
      </c>
      <c r="I63" s="32">
        <v>45498</v>
      </c>
      <c r="J63" s="31">
        <v>7</v>
      </c>
      <c r="K63" s="31">
        <v>2</v>
      </c>
      <c r="L63" s="31">
        <f t="shared" si="0"/>
        <v>9</v>
      </c>
    </row>
    <row r="64" spans="2:12" s="14" customFormat="1" ht="13" x14ac:dyDescent="0.3">
      <c r="B64" s="14">
        <v>59</v>
      </c>
      <c r="C64" s="29">
        <v>44986</v>
      </c>
      <c r="D64" s="14">
        <v>1</v>
      </c>
      <c r="E64" s="14" t="s">
        <v>129</v>
      </c>
      <c r="F64" s="30">
        <v>30</v>
      </c>
      <c r="G64" s="30">
        <v>29</v>
      </c>
      <c r="H64" s="30">
        <v>59</v>
      </c>
      <c r="I64" s="32">
        <v>45526</v>
      </c>
      <c r="J64" s="31">
        <v>7</v>
      </c>
      <c r="K64" s="31">
        <v>3</v>
      </c>
      <c r="L64" s="31">
        <f t="shared" si="0"/>
        <v>10</v>
      </c>
    </row>
    <row r="65" spans="2:12" s="14" customFormat="1" ht="13" x14ac:dyDescent="0.3">
      <c r="B65" s="14">
        <v>60</v>
      </c>
      <c r="C65" s="29">
        <v>44986</v>
      </c>
      <c r="D65" s="14">
        <v>1</v>
      </c>
      <c r="E65" s="14" t="s">
        <v>129</v>
      </c>
      <c r="F65" s="30">
        <v>31</v>
      </c>
      <c r="G65" s="30">
        <v>29</v>
      </c>
      <c r="H65" s="30">
        <v>60</v>
      </c>
      <c r="I65" s="32">
        <v>45526</v>
      </c>
      <c r="J65" s="31">
        <v>7</v>
      </c>
      <c r="K65" s="31">
        <v>3</v>
      </c>
      <c r="L65" s="31">
        <f t="shared" si="0"/>
        <v>10</v>
      </c>
    </row>
    <row r="66" spans="2:12" s="14" customFormat="1" ht="13" x14ac:dyDescent="0.3">
      <c r="B66" s="14">
        <v>61</v>
      </c>
      <c r="C66" s="29">
        <v>44986</v>
      </c>
      <c r="D66" s="14">
        <v>1</v>
      </c>
      <c r="E66" s="14" t="s">
        <v>129</v>
      </c>
      <c r="F66" s="30">
        <v>32</v>
      </c>
      <c r="G66" s="30">
        <v>29</v>
      </c>
      <c r="H66" s="30">
        <v>61</v>
      </c>
      <c r="I66" s="32">
        <v>45526</v>
      </c>
      <c r="J66" s="31">
        <v>7</v>
      </c>
      <c r="K66" s="31">
        <v>3</v>
      </c>
      <c r="L66" s="31">
        <f t="shared" si="0"/>
        <v>10</v>
      </c>
    </row>
    <row r="67" spans="2:12" s="14" customFormat="1" ht="13" x14ac:dyDescent="0.3">
      <c r="B67" s="14">
        <v>62</v>
      </c>
      <c r="C67" s="29">
        <v>44986</v>
      </c>
      <c r="D67" s="14">
        <v>1</v>
      </c>
      <c r="E67" s="14" t="s">
        <v>129</v>
      </c>
      <c r="F67" s="30">
        <v>33</v>
      </c>
      <c r="G67" s="30">
        <v>29</v>
      </c>
      <c r="H67" s="30">
        <v>62</v>
      </c>
      <c r="I67" s="32">
        <v>45526</v>
      </c>
      <c r="J67" s="31">
        <v>7</v>
      </c>
      <c r="K67" s="31">
        <v>3</v>
      </c>
      <c r="L67" s="31">
        <f t="shared" si="0"/>
        <v>10</v>
      </c>
    </row>
    <row r="68" spans="2:12" s="14" customFormat="1" ht="13" x14ac:dyDescent="0.3">
      <c r="B68" s="14">
        <v>63</v>
      </c>
      <c r="C68" s="29">
        <v>44986</v>
      </c>
      <c r="D68" s="14">
        <v>0</v>
      </c>
      <c r="E68" s="14" t="s">
        <v>130</v>
      </c>
      <c r="F68" s="30">
        <v>33</v>
      </c>
      <c r="G68" s="30">
        <v>30</v>
      </c>
      <c r="H68" s="30">
        <v>63</v>
      </c>
      <c r="I68" s="32">
        <v>45526</v>
      </c>
      <c r="J68" s="31">
        <v>7</v>
      </c>
      <c r="K68" s="31">
        <v>3</v>
      </c>
      <c r="L68" s="31">
        <f t="shared" si="0"/>
        <v>10</v>
      </c>
    </row>
    <row r="69" spans="2:12" s="14" customFormat="1" ht="13" x14ac:dyDescent="0.3">
      <c r="B69" s="14">
        <v>64</v>
      </c>
      <c r="C69" s="29">
        <v>45017</v>
      </c>
      <c r="D69" s="14">
        <v>0</v>
      </c>
      <c r="E69" s="14" t="s">
        <v>130</v>
      </c>
      <c r="F69" s="30">
        <v>33</v>
      </c>
      <c r="G69" s="30">
        <v>31</v>
      </c>
      <c r="H69" s="30">
        <v>64</v>
      </c>
      <c r="I69" s="32">
        <v>45557</v>
      </c>
      <c r="J69" s="31">
        <v>7</v>
      </c>
      <c r="K69" s="31">
        <v>4</v>
      </c>
      <c r="L69" s="31">
        <f t="shared" si="0"/>
        <v>11</v>
      </c>
    </row>
    <row r="70" spans="2:12" s="14" customFormat="1" ht="13" x14ac:dyDescent="0.3">
      <c r="B70" s="14">
        <v>65</v>
      </c>
      <c r="C70" s="29">
        <v>45017</v>
      </c>
      <c r="D70" s="14">
        <v>0</v>
      </c>
      <c r="E70" s="14" t="s">
        <v>130</v>
      </c>
      <c r="F70" s="30">
        <v>33</v>
      </c>
      <c r="G70" s="30">
        <v>32</v>
      </c>
      <c r="H70" s="30">
        <v>65</v>
      </c>
      <c r="I70" s="32">
        <v>45557</v>
      </c>
      <c r="J70" s="31">
        <v>7</v>
      </c>
      <c r="K70" s="31">
        <v>4</v>
      </c>
      <c r="L70" s="31">
        <f t="shared" si="0"/>
        <v>11</v>
      </c>
    </row>
    <row r="71" spans="2:12" s="14" customFormat="1" ht="13" x14ac:dyDescent="0.3">
      <c r="B71" s="14">
        <v>66</v>
      </c>
      <c r="C71" s="29">
        <v>45017</v>
      </c>
      <c r="D71" s="14">
        <v>0</v>
      </c>
      <c r="E71" s="14" t="s">
        <v>130</v>
      </c>
      <c r="F71" s="30">
        <v>33</v>
      </c>
      <c r="G71" s="30">
        <v>33</v>
      </c>
      <c r="H71" s="30">
        <v>66</v>
      </c>
      <c r="I71" s="32">
        <v>45557</v>
      </c>
      <c r="J71" s="31">
        <v>7</v>
      </c>
      <c r="K71" s="31">
        <v>4</v>
      </c>
      <c r="L71" s="31">
        <f t="shared" ref="L71:L140" si="1">+K71+J71</f>
        <v>11</v>
      </c>
    </row>
    <row r="72" spans="2:12" s="14" customFormat="1" ht="13" x14ac:dyDescent="0.3">
      <c r="B72" s="14">
        <v>67</v>
      </c>
      <c r="C72" s="29">
        <v>45017</v>
      </c>
      <c r="D72" s="14">
        <v>0</v>
      </c>
      <c r="E72" s="14" t="s">
        <v>130</v>
      </c>
      <c r="F72" s="30">
        <v>33</v>
      </c>
      <c r="G72" s="30">
        <v>34</v>
      </c>
      <c r="H72" s="30">
        <v>67</v>
      </c>
      <c r="I72" s="32">
        <v>45557</v>
      </c>
      <c r="J72" s="31">
        <v>7</v>
      </c>
      <c r="K72" s="31">
        <v>4</v>
      </c>
      <c r="L72" s="31">
        <f t="shared" si="1"/>
        <v>11</v>
      </c>
    </row>
    <row r="73" spans="2:12" s="14" customFormat="1" ht="13" x14ac:dyDescent="0.3">
      <c r="B73" s="14">
        <v>68</v>
      </c>
      <c r="C73" s="29">
        <v>45017</v>
      </c>
      <c r="D73" s="14">
        <v>0</v>
      </c>
      <c r="E73" s="14" t="s">
        <v>130</v>
      </c>
      <c r="F73" s="30">
        <v>33</v>
      </c>
      <c r="G73" s="30">
        <v>35</v>
      </c>
      <c r="H73" s="30">
        <v>68</v>
      </c>
      <c r="I73" s="32">
        <v>45557</v>
      </c>
      <c r="J73" s="31">
        <v>7</v>
      </c>
      <c r="K73" s="31">
        <v>4</v>
      </c>
      <c r="L73" s="31">
        <f t="shared" si="1"/>
        <v>11</v>
      </c>
    </row>
    <row r="74" spans="2:12" s="14" customFormat="1" ht="13" x14ac:dyDescent="0.3">
      <c r="B74" s="14">
        <v>69</v>
      </c>
      <c r="C74" s="29">
        <v>45047</v>
      </c>
      <c r="D74" s="14">
        <v>1</v>
      </c>
      <c r="E74" s="14" t="s">
        <v>129</v>
      </c>
      <c r="F74" s="30">
        <v>34</v>
      </c>
      <c r="G74" s="30">
        <v>35</v>
      </c>
      <c r="H74" s="30">
        <v>69</v>
      </c>
      <c r="I74" s="32">
        <v>45587</v>
      </c>
      <c r="J74" s="31">
        <v>7</v>
      </c>
      <c r="K74" s="31">
        <v>5</v>
      </c>
      <c r="L74" s="31">
        <f t="shared" si="1"/>
        <v>12</v>
      </c>
    </row>
    <row r="75" spans="2:12" s="14" customFormat="1" ht="13" x14ac:dyDescent="0.3">
      <c r="B75" s="14">
        <v>70</v>
      </c>
      <c r="C75" s="29">
        <v>45047</v>
      </c>
      <c r="D75" s="14">
        <v>0</v>
      </c>
      <c r="E75" s="14" t="s">
        <v>130</v>
      </c>
      <c r="F75" s="30">
        <v>34</v>
      </c>
      <c r="G75" s="30">
        <v>36</v>
      </c>
      <c r="H75" s="30">
        <v>70</v>
      </c>
      <c r="I75" s="32">
        <v>45587</v>
      </c>
      <c r="J75" s="31">
        <v>7</v>
      </c>
      <c r="K75" s="31">
        <v>5</v>
      </c>
      <c r="L75" s="31">
        <f t="shared" si="1"/>
        <v>12</v>
      </c>
    </row>
    <row r="76" spans="2:12" s="14" customFormat="1" ht="13" x14ac:dyDescent="0.3">
      <c r="B76" s="14">
        <v>71</v>
      </c>
      <c r="C76" s="29">
        <v>45047</v>
      </c>
      <c r="D76" s="14">
        <v>1</v>
      </c>
      <c r="E76" s="14" t="s">
        <v>129</v>
      </c>
      <c r="F76" s="30">
        <v>35</v>
      </c>
      <c r="G76" s="30">
        <v>36</v>
      </c>
      <c r="H76" s="30">
        <v>71</v>
      </c>
      <c r="I76" s="32">
        <v>45587</v>
      </c>
      <c r="J76" s="31">
        <v>7</v>
      </c>
      <c r="K76" s="31">
        <v>5</v>
      </c>
      <c r="L76" s="31">
        <f t="shared" si="1"/>
        <v>12</v>
      </c>
    </row>
    <row r="77" spans="2:12" s="14" customFormat="1" ht="13" x14ac:dyDescent="0.3">
      <c r="B77" s="14">
        <v>72</v>
      </c>
      <c r="C77" s="29">
        <v>45047</v>
      </c>
      <c r="D77" s="14">
        <v>0</v>
      </c>
      <c r="E77" s="14" t="s">
        <v>130</v>
      </c>
      <c r="F77" s="30">
        <v>35</v>
      </c>
      <c r="G77" s="30">
        <v>37</v>
      </c>
      <c r="H77" s="30">
        <v>72</v>
      </c>
      <c r="I77" s="32">
        <v>45587</v>
      </c>
      <c r="J77" s="31">
        <v>7</v>
      </c>
      <c r="K77" s="31">
        <v>5</v>
      </c>
      <c r="L77" s="31">
        <f t="shared" si="1"/>
        <v>12</v>
      </c>
    </row>
    <row r="78" spans="2:12" s="14" customFormat="1" ht="13" x14ac:dyDescent="0.3">
      <c r="B78" s="14">
        <v>73</v>
      </c>
      <c r="C78" s="29">
        <v>45047</v>
      </c>
      <c r="D78" s="14">
        <v>1</v>
      </c>
      <c r="E78" s="14" t="s">
        <v>129</v>
      </c>
      <c r="F78" s="30">
        <v>36</v>
      </c>
      <c r="G78" s="30">
        <v>37</v>
      </c>
      <c r="H78" s="30">
        <v>73</v>
      </c>
      <c r="I78" s="32">
        <v>45587</v>
      </c>
      <c r="J78" s="31">
        <v>7</v>
      </c>
      <c r="K78" s="31">
        <v>5</v>
      </c>
      <c r="L78" s="31">
        <f t="shared" si="1"/>
        <v>12</v>
      </c>
    </row>
    <row r="79" spans="2:12" s="14" customFormat="1" ht="13" x14ac:dyDescent="0.3">
      <c r="B79" s="14">
        <v>74</v>
      </c>
      <c r="C79" s="29">
        <v>45078</v>
      </c>
      <c r="D79" s="14">
        <v>1</v>
      </c>
      <c r="E79" s="14" t="s">
        <v>129</v>
      </c>
      <c r="F79" s="30">
        <v>37</v>
      </c>
      <c r="G79" s="30">
        <v>37</v>
      </c>
      <c r="H79" s="30">
        <v>74</v>
      </c>
      <c r="I79" s="32">
        <v>45618</v>
      </c>
      <c r="J79" s="31">
        <v>8</v>
      </c>
      <c r="K79" s="31">
        <v>5</v>
      </c>
      <c r="L79" s="31">
        <f t="shared" si="1"/>
        <v>13</v>
      </c>
    </row>
    <row r="80" spans="2:12" s="14" customFormat="1" ht="13" x14ac:dyDescent="0.3">
      <c r="B80" s="14">
        <v>75</v>
      </c>
      <c r="C80" s="29">
        <v>45078</v>
      </c>
      <c r="D80" s="14">
        <v>0</v>
      </c>
      <c r="E80" s="14" t="s">
        <v>130</v>
      </c>
      <c r="F80" s="30">
        <v>37</v>
      </c>
      <c r="G80" s="30">
        <v>38</v>
      </c>
      <c r="H80" s="30">
        <v>75</v>
      </c>
      <c r="I80" s="32">
        <v>45618</v>
      </c>
      <c r="J80" s="31">
        <v>8</v>
      </c>
      <c r="K80" s="31">
        <v>5</v>
      </c>
      <c r="L80" s="31">
        <f t="shared" si="1"/>
        <v>13</v>
      </c>
    </row>
    <row r="81" spans="2:12" s="14" customFormat="1" ht="13" x14ac:dyDescent="0.3">
      <c r="B81" s="14">
        <v>76</v>
      </c>
      <c r="C81" s="29">
        <v>45078</v>
      </c>
      <c r="D81" s="14">
        <v>1</v>
      </c>
      <c r="E81" s="14" t="s">
        <v>129</v>
      </c>
      <c r="F81" s="30">
        <v>38</v>
      </c>
      <c r="G81" s="30">
        <v>38</v>
      </c>
      <c r="H81" s="30">
        <v>76</v>
      </c>
      <c r="I81" s="32">
        <v>45618</v>
      </c>
      <c r="J81" s="31">
        <v>8</v>
      </c>
      <c r="K81" s="31">
        <v>5</v>
      </c>
      <c r="L81" s="31">
        <f t="shared" si="1"/>
        <v>13</v>
      </c>
    </row>
    <row r="82" spans="2:12" s="14" customFormat="1" ht="13" x14ac:dyDescent="0.3">
      <c r="B82" s="14">
        <v>77</v>
      </c>
      <c r="C82" s="29">
        <v>45078</v>
      </c>
      <c r="D82" s="14">
        <v>0</v>
      </c>
      <c r="E82" s="14" t="s">
        <v>130</v>
      </c>
      <c r="F82" s="30">
        <v>38</v>
      </c>
      <c r="G82" s="30">
        <v>39</v>
      </c>
      <c r="H82" s="30">
        <v>77</v>
      </c>
      <c r="I82" s="32">
        <v>45618</v>
      </c>
      <c r="J82" s="31">
        <v>8</v>
      </c>
      <c r="K82" s="31">
        <v>5</v>
      </c>
      <c r="L82" s="31">
        <f t="shared" si="1"/>
        <v>13</v>
      </c>
    </row>
    <row r="83" spans="2:12" s="14" customFormat="1" ht="13" x14ac:dyDescent="0.3">
      <c r="B83" s="14">
        <v>78</v>
      </c>
      <c r="C83" s="29">
        <v>45078</v>
      </c>
      <c r="D83" s="14">
        <v>0</v>
      </c>
      <c r="E83" s="14" t="s">
        <v>130</v>
      </c>
      <c r="F83" s="30">
        <v>38</v>
      </c>
      <c r="G83" s="30">
        <v>40</v>
      </c>
      <c r="H83" s="30">
        <v>78</v>
      </c>
      <c r="I83" s="32">
        <v>45618</v>
      </c>
      <c r="J83" s="31">
        <v>8</v>
      </c>
      <c r="K83" s="31">
        <v>5</v>
      </c>
      <c r="L83" s="31">
        <f t="shared" si="1"/>
        <v>13</v>
      </c>
    </row>
    <row r="84" spans="2:12" s="14" customFormat="1" ht="13" x14ac:dyDescent="0.3">
      <c r="B84" s="14">
        <v>79</v>
      </c>
      <c r="C84" s="29">
        <v>45108</v>
      </c>
      <c r="D84" s="14">
        <v>0</v>
      </c>
      <c r="E84" s="14" t="s">
        <v>130</v>
      </c>
      <c r="F84" s="30">
        <v>38</v>
      </c>
      <c r="G84" s="30">
        <v>41</v>
      </c>
      <c r="H84" s="30">
        <v>79</v>
      </c>
      <c r="I84" s="32">
        <v>45648</v>
      </c>
      <c r="J84" s="31">
        <v>8</v>
      </c>
      <c r="K84" s="31">
        <v>6</v>
      </c>
      <c r="L84" s="31">
        <f t="shared" si="1"/>
        <v>14</v>
      </c>
    </row>
    <row r="85" spans="2:12" s="14" customFormat="1" ht="13" x14ac:dyDescent="0.3">
      <c r="B85" s="14">
        <v>80</v>
      </c>
      <c r="C85" s="29">
        <v>45108</v>
      </c>
      <c r="D85" s="14">
        <v>0</v>
      </c>
      <c r="E85" s="14" t="s">
        <v>130</v>
      </c>
      <c r="F85" s="30">
        <v>38</v>
      </c>
      <c r="G85" s="30">
        <v>42</v>
      </c>
      <c r="H85" s="30">
        <v>80</v>
      </c>
      <c r="I85" s="32">
        <v>45648</v>
      </c>
      <c r="J85" s="31">
        <v>8</v>
      </c>
      <c r="K85" s="31">
        <v>6</v>
      </c>
      <c r="L85" s="31">
        <f t="shared" si="1"/>
        <v>14</v>
      </c>
    </row>
    <row r="86" spans="2:12" s="14" customFormat="1" ht="13" x14ac:dyDescent="0.3">
      <c r="B86" s="14">
        <v>81</v>
      </c>
      <c r="C86" s="29">
        <v>45108</v>
      </c>
      <c r="D86" s="14">
        <v>1</v>
      </c>
      <c r="E86" s="14" t="s">
        <v>129</v>
      </c>
      <c r="F86" s="30">
        <v>39</v>
      </c>
      <c r="G86" s="30">
        <v>42</v>
      </c>
      <c r="H86" s="30">
        <v>81</v>
      </c>
      <c r="I86" s="32">
        <v>45648</v>
      </c>
      <c r="J86" s="31">
        <v>8</v>
      </c>
      <c r="K86" s="31">
        <v>6</v>
      </c>
      <c r="L86" s="31">
        <f t="shared" si="1"/>
        <v>14</v>
      </c>
    </row>
    <row r="87" spans="2:12" s="14" customFormat="1" ht="13" x14ac:dyDescent="0.3">
      <c r="B87" s="14">
        <v>82</v>
      </c>
      <c r="C87" s="29">
        <v>45108</v>
      </c>
      <c r="D87" s="14">
        <v>1</v>
      </c>
      <c r="E87" s="14" t="s">
        <v>129</v>
      </c>
      <c r="F87" s="30">
        <v>40</v>
      </c>
      <c r="G87" s="30">
        <v>42</v>
      </c>
      <c r="H87" s="30">
        <v>82</v>
      </c>
      <c r="I87" s="32">
        <v>45648</v>
      </c>
      <c r="J87" s="31">
        <v>8</v>
      </c>
      <c r="K87" s="31">
        <v>6</v>
      </c>
      <c r="L87" s="31">
        <f t="shared" si="1"/>
        <v>14</v>
      </c>
    </row>
    <row r="88" spans="2:12" s="14" customFormat="1" ht="13" x14ac:dyDescent="0.3">
      <c r="B88" s="14">
        <v>83</v>
      </c>
      <c r="C88" s="29">
        <v>45108</v>
      </c>
      <c r="D88" s="14">
        <v>0</v>
      </c>
      <c r="E88" s="14" t="s">
        <v>130</v>
      </c>
      <c r="F88" s="30">
        <v>40</v>
      </c>
      <c r="G88" s="30">
        <v>43</v>
      </c>
      <c r="H88" s="30">
        <v>83</v>
      </c>
      <c r="I88" s="32">
        <v>45648</v>
      </c>
      <c r="J88" s="31">
        <v>8</v>
      </c>
      <c r="K88" s="31">
        <v>6</v>
      </c>
      <c r="L88" s="31">
        <f t="shared" si="1"/>
        <v>14</v>
      </c>
    </row>
    <row r="89" spans="2:12" x14ac:dyDescent="0.25">
      <c r="B89">
        <v>84</v>
      </c>
      <c r="C89" s="28">
        <v>45139</v>
      </c>
      <c r="D89">
        <v>1</v>
      </c>
      <c r="E89" t="s">
        <v>129</v>
      </c>
      <c r="F89" s="2">
        <v>41</v>
      </c>
      <c r="G89" s="2">
        <v>43</v>
      </c>
      <c r="H89" s="2">
        <v>84</v>
      </c>
      <c r="I89" s="33">
        <v>45679</v>
      </c>
      <c r="J89" s="8">
        <v>8</v>
      </c>
      <c r="K89" s="8">
        <v>7</v>
      </c>
      <c r="L89" s="8">
        <f t="shared" si="1"/>
        <v>15</v>
      </c>
    </row>
    <row r="90" spans="2:12" x14ac:dyDescent="0.25">
      <c r="B90">
        <v>85</v>
      </c>
      <c r="C90" s="28">
        <v>45139</v>
      </c>
      <c r="D90">
        <v>0</v>
      </c>
      <c r="E90" t="s">
        <v>130</v>
      </c>
      <c r="F90" s="2">
        <v>41</v>
      </c>
      <c r="G90" s="2">
        <v>44</v>
      </c>
      <c r="H90" s="2">
        <v>85</v>
      </c>
      <c r="I90" s="33">
        <v>45679</v>
      </c>
      <c r="J90" s="8">
        <v>9</v>
      </c>
      <c r="K90" s="8">
        <v>7</v>
      </c>
      <c r="L90" s="8">
        <f t="shared" si="1"/>
        <v>16</v>
      </c>
    </row>
    <row r="91" spans="2:12" x14ac:dyDescent="0.25">
      <c r="B91">
        <v>86</v>
      </c>
      <c r="C91" s="28">
        <v>45139</v>
      </c>
      <c r="D91">
        <v>0</v>
      </c>
      <c r="E91" t="s">
        <v>130</v>
      </c>
      <c r="F91" s="2">
        <v>41</v>
      </c>
      <c r="G91" s="2">
        <v>45</v>
      </c>
      <c r="H91" s="2">
        <v>86</v>
      </c>
      <c r="I91" s="33">
        <v>45679</v>
      </c>
      <c r="J91" s="8">
        <v>9</v>
      </c>
      <c r="K91" s="8">
        <v>7</v>
      </c>
      <c r="L91" s="8">
        <f t="shared" si="1"/>
        <v>16</v>
      </c>
    </row>
    <row r="92" spans="2:12" x14ac:dyDescent="0.25">
      <c r="B92">
        <v>87</v>
      </c>
      <c r="C92" s="28">
        <v>45139</v>
      </c>
      <c r="D92">
        <v>0</v>
      </c>
      <c r="E92" t="s">
        <v>130</v>
      </c>
      <c r="F92" s="2">
        <v>41</v>
      </c>
      <c r="G92" s="2">
        <v>46</v>
      </c>
      <c r="H92" s="2">
        <v>87</v>
      </c>
      <c r="I92" s="33">
        <v>45679</v>
      </c>
      <c r="J92" s="8">
        <v>9</v>
      </c>
      <c r="K92" s="8">
        <v>7</v>
      </c>
      <c r="L92" s="8">
        <f t="shared" si="1"/>
        <v>16</v>
      </c>
    </row>
    <row r="93" spans="2:12" x14ac:dyDescent="0.25">
      <c r="B93">
        <v>88</v>
      </c>
      <c r="C93" s="28">
        <v>45139</v>
      </c>
      <c r="D93">
        <v>1</v>
      </c>
      <c r="E93" t="s">
        <v>129</v>
      </c>
      <c r="F93" s="2">
        <v>42</v>
      </c>
      <c r="G93" s="2">
        <v>46</v>
      </c>
      <c r="H93" s="2">
        <v>88</v>
      </c>
      <c r="I93" s="33">
        <v>45679</v>
      </c>
      <c r="J93" s="8">
        <v>9</v>
      </c>
      <c r="K93" s="8">
        <v>7</v>
      </c>
      <c r="L93" s="8">
        <f t="shared" si="1"/>
        <v>16</v>
      </c>
    </row>
    <row r="94" spans="2:12" x14ac:dyDescent="0.25">
      <c r="B94">
        <v>89</v>
      </c>
      <c r="C94" s="28">
        <v>45170</v>
      </c>
      <c r="D94">
        <v>1</v>
      </c>
      <c r="E94" t="s">
        <v>129</v>
      </c>
      <c r="F94" s="2">
        <v>43</v>
      </c>
      <c r="G94" s="2">
        <v>46</v>
      </c>
      <c r="H94" s="2">
        <v>89</v>
      </c>
      <c r="I94" s="33">
        <v>45710</v>
      </c>
      <c r="J94" s="8">
        <v>9</v>
      </c>
      <c r="K94" s="8">
        <v>7</v>
      </c>
      <c r="L94" s="8">
        <f t="shared" si="1"/>
        <v>16</v>
      </c>
    </row>
    <row r="95" spans="2:12" x14ac:dyDescent="0.25">
      <c r="B95">
        <v>90</v>
      </c>
      <c r="C95" s="28">
        <v>45170</v>
      </c>
      <c r="D95">
        <v>0</v>
      </c>
      <c r="E95" t="s">
        <v>130</v>
      </c>
      <c r="F95" s="2">
        <v>43</v>
      </c>
      <c r="G95" s="2">
        <v>47</v>
      </c>
      <c r="H95" s="2">
        <v>90</v>
      </c>
      <c r="I95" s="33">
        <v>45710</v>
      </c>
      <c r="J95" s="8">
        <v>10</v>
      </c>
      <c r="K95" s="8">
        <v>7</v>
      </c>
      <c r="L95" s="8">
        <f t="shared" si="1"/>
        <v>17</v>
      </c>
    </row>
    <row r="96" spans="2:12" x14ac:dyDescent="0.25">
      <c r="B96">
        <v>91</v>
      </c>
      <c r="C96" s="28">
        <v>45170</v>
      </c>
      <c r="D96">
        <v>1</v>
      </c>
      <c r="E96" t="s">
        <v>129</v>
      </c>
      <c r="F96" s="2">
        <v>44</v>
      </c>
      <c r="G96" s="2">
        <v>47</v>
      </c>
      <c r="H96" s="2">
        <v>91</v>
      </c>
      <c r="I96" s="33">
        <v>45710</v>
      </c>
      <c r="J96" s="8">
        <v>10</v>
      </c>
      <c r="K96" s="8">
        <v>8</v>
      </c>
      <c r="L96" s="8">
        <f t="shared" si="1"/>
        <v>18</v>
      </c>
    </row>
    <row r="97" spans="2:12" x14ac:dyDescent="0.25">
      <c r="B97">
        <v>92</v>
      </c>
      <c r="C97" s="28">
        <v>45170</v>
      </c>
      <c r="D97">
        <v>1</v>
      </c>
      <c r="E97" t="s">
        <v>129</v>
      </c>
      <c r="F97" s="2">
        <v>45</v>
      </c>
      <c r="G97" s="2">
        <v>47</v>
      </c>
      <c r="H97" s="2">
        <v>92</v>
      </c>
      <c r="I97" s="33">
        <v>45710</v>
      </c>
      <c r="J97" s="8">
        <v>10</v>
      </c>
      <c r="K97" s="8">
        <v>8</v>
      </c>
      <c r="L97" s="8">
        <f t="shared" si="1"/>
        <v>18</v>
      </c>
    </row>
    <row r="98" spans="2:12" x14ac:dyDescent="0.25">
      <c r="B98">
        <v>93</v>
      </c>
      <c r="C98" s="28">
        <v>45170</v>
      </c>
      <c r="D98">
        <v>1</v>
      </c>
      <c r="E98" t="s">
        <v>129</v>
      </c>
      <c r="F98" s="2">
        <v>46</v>
      </c>
      <c r="G98" s="2">
        <v>47</v>
      </c>
      <c r="H98" s="2">
        <v>93</v>
      </c>
      <c r="I98" s="33">
        <v>45710</v>
      </c>
      <c r="J98" s="8">
        <v>10</v>
      </c>
      <c r="K98" s="8">
        <v>8</v>
      </c>
      <c r="L98" s="8">
        <f t="shared" si="1"/>
        <v>18</v>
      </c>
    </row>
    <row r="99" spans="2:12" x14ac:dyDescent="0.25">
      <c r="B99">
        <v>94</v>
      </c>
      <c r="C99" s="28">
        <v>45200</v>
      </c>
      <c r="D99">
        <v>0</v>
      </c>
      <c r="E99" t="s">
        <v>130</v>
      </c>
      <c r="F99" s="2">
        <v>46</v>
      </c>
      <c r="G99" s="2">
        <v>48</v>
      </c>
      <c r="H99" s="2">
        <v>94</v>
      </c>
      <c r="I99" s="33">
        <v>45740</v>
      </c>
      <c r="J99" s="8">
        <v>11</v>
      </c>
      <c r="K99" s="8">
        <v>8</v>
      </c>
      <c r="L99" s="8">
        <f t="shared" si="1"/>
        <v>19</v>
      </c>
    </row>
    <row r="100" spans="2:12" x14ac:dyDescent="0.25">
      <c r="B100">
        <v>95</v>
      </c>
      <c r="C100" s="28">
        <v>45200</v>
      </c>
      <c r="D100">
        <v>0</v>
      </c>
      <c r="E100" t="s">
        <v>130</v>
      </c>
      <c r="F100" s="2">
        <v>46</v>
      </c>
      <c r="G100" s="2">
        <v>49</v>
      </c>
      <c r="H100" s="2">
        <v>95</v>
      </c>
      <c r="I100" s="33">
        <v>45740</v>
      </c>
      <c r="J100" s="8">
        <v>12</v>
      </c>
      <c r="K100" s="8">
        <v>8</v>
      </c>
      <c r="L100" s="8">
        <f t="shared" si="1"/>
        <v>20</v>
      </c>
    </row>
    <row r="101" spans="2:12" x14ac:dyDescent="0.25">
      <c r="B101">
        <v>96</v>
      </c>
      <c r="C101" s="28">
        <v>45200</v>
      </c>
      <c r="D101">
        <v>1</v>
      </c>
      <c r="E101" t="s">
        <v>129</v>
      </c>
      <c r="F101" s="2">
        <v>47</v>
      </c>
      <c r="G101" s="2">
        <v>49</v>
      </c>
      <c r="H101" s="2">
        <v>96</v>
      </c>
      <c r="I101" s="33">
        <v>45740</v>
      </c>
      <c r="J101" s="8">
        <v>13</v>
      </c>
      <c r="K101" s="8">
        <v>8</v>
      </c>
      <c r="L101" s="8">
        <f t="shared" si="1"/>
        <v>21</v>
      </c>
    </row>
    <row r="102" spans="2:12" x14ac:dyDescent="0.25">
      <c r="B102">
        <v>97</v>
      </c>
      <c r="C102" s="28">
        <v>45200</v>
      </c>
      <c r="D102">
        <v>1</v>
      </c>
      <c r="E102" t="s">
        <v>129</v>
      </c>
      <c r="F102" s="2">
        <v>48</v>
      </c>
      <c r="G102" s="2">
        <v>49</v>
      </c>
      <c r="H102" s="2">
        <v>97</v>
      </c>
      <c r="I102" s="33">
        <v>45740</v>
      </c>
      <c r="J102" s="8">
        <v>13</v>
      </c>
      <c r="K102" s="8">
        <v>8</v>
      </c>
      <c r="L102" s="8">
        <f t="shared" si="1"/>
        <v>21</v>
      </c>
    </row>
    <row r="103" spans="2:12" x14ac:dyDescent="0.25">
      <c r="B103">
        <v>98</v>
      </c>
      <c r="C103" s="28">
        <v>45200</v>
      </c>
      <c r="D103">
        <v>0</v>
      </c>
      <c r="E103" t="s">
        <v>130</v>
      </c>
      <c r="F103" s="2">
        <v>48</v>
      </c>
      <c r="G103" s="2">
        <v>50</v>
      </c>
      <c r="H103" s="2">
        <v>98</v>
      </c>
      <c r="I103" s="33">
        <v>45740</v>
      </c>
      <c r="J103" s="8">
        <v>13</v>
      </c>
      <c r="K103" s="8">
        <v>8</v>
      </c>
      <c r="L103" s="8">
        <f t="shared" si="1"/>
        <v>21</v>
      </c>
    </row>
    <row r="104" spans="2:12" x14ac:dyDescent="0.25">
      <c r="B104">
        <v>99</v>
      </c>
      <c r="C104" s="28">
        <v>45231</v>
      </c>
      <c r="D104">
        <v>0</v>
      </c>
      <c r="E104" t="s">
        <v>130</v>
      </c>
      <c r="F104" s="2">
        <v>48</v>
      </c>
      <c r="G104" s="2">
        <v>51</v>
      </c>
      <c r="H104" s="2">
        <v>99</v>
      </c>
      <c r="I104" s="33">
        <v>45771</v>
      </c>
      <c r="J104" s="8">
        <v>14</v>
      </c>
      <c r="K104" s="8">
        <v>8</v>
      </c>
      <c r="L104" s="8">
        <f t="shared" si="1"/>
        <v>22</v>
      </c>
    </row>
    <row r="105" spans="2:12" x14ac:dyDescent="0.25">
      <c r="B105">
        <v>100</v>
      </c>
      <c r="C105" s="28">
        <v>45231</v>
      </c>
      <c r="D105">
        <v>0</v>
      </c>
      <c r="E105" t="s">
        <v>130</v>
      </c>
      <c r="F105" s="2">
        <v>48</v>
      </c>
      <c r="G105" s="2">
        <v>52</v>
      </c>
      <c r="H105" s="2">
        <v>100</v>
      </c>
      <c r="I105" s="33">
        <v>45771</v>
      </c>
      <c r="J105" s="8">
        <v>14</v>
      </c>
      <c r="K105" s="8">
        <v>9</v>
      </c>
      <c r="L105" s="8">
        <f t="shared" si="1"/>
        <v>23</v>
      </c>
    </row>
    <row r="106" spans="2:12" x14ac:dyDescent="0.25">
      <c r="B106">
        <v>101</v>
      </c>
      <c r="C106" s="28">
        <v>45231</v>
      </c>
      <c r="D106">
        <v>1</v>
      </c>
      <c r="E106" t="s">
        <v>129</v>
      </c>
      <c r="F106" s="2">
        <v>49</v>
      </c>
      <c r="G106" s="2">
        <v>52</v>
      </c>
      <c r="H106" s="2">
        <v>101</v>
      </c>
      <c r="I106" s="33">
        <v>45771</v>
      </c>
      <c r="J106" s="8">
        <v>15</v>
      </c>
      <c r="K106" s="8">
        <v>9</v>
      </c>
      <c r="L106" s="8">
        <f t="shared" si="1"/>
        <v>24</v>
      </c>
    </row>
    <row r="107" spans="2:12" x14ac:dyDescent="0.25">
      <c r="B107">
        <v>102</v>
      </c>
      <c r="C107" s="28">
        <v>45231</v>
      </c>
      <c r="D107">
        <v>0</v>
      </c>
      <c r="E107" t="s">
        <v>130</v>
      </c>
      <c r="F107" s="2">
        <v>49</v>
      </c>
      <c r="G107" s="2">
        <v>53</v>
      </c>
      <c r="H107" s="2">
        <v>102</v>
      </c>
      <c r="I107" s="33">
        <v>45771</v>
      </c>
      <c r="J107" s="8">
        <v>15</v>
      </c>
      <c r="K107" s="8">
        <v>9</v>
      </c>
      <c r="L107" s="8">
        <f t="shared" si="1"/>
        <v>24</v>
      </c>
    </row>
    <row r="108" spans="2:12" x14ac:dyDescent="0.25">
      <c r="B108">
        <v>103</v>
      </c>
      <c r="C108" s="28">
        <v>45231</v>
      </c>
      <c r="D108">
        <v>1</v>
      </c>
      <c r="E108" t="s">
        <v>129</v>
      </c>
      <c r="F108" s="2">
        <v>50</v>
      </c>
      <c r="G108" s="2">
        <v>53</v>
      </c>
      <c r="H108" s="2">
        <v>103</v>
      </c>
      <c r="I108" s="33">
        <v>45771</v>
      </c>
      <c r="J108" s="8">
        <v>15</v>
      </c>
      <c r="K108" s="8">
        <v>9</v>
      </c>
      <c r="L108" s="8">
        <f t="shared" si="1"/>
        <v>24</v>
      </c>
    </row>
    <row r="109" spans="2:12" x14ac:dyDescent="0.25">
      <c r="B109">
        <v>104</v>
      </c>
      <c r="C109" s="28">
        <v>45261</v>
      </c>
      <c r="D109">
        <v>0</v>
      </c>
      <c r="E109" t="s">
        <v>130</v>
      </c>
      <c r="F109" s="2">
        <v>50</v>
      </c>
      <c r="G109" s="2">
        <v>54</v>
      </c>
      <c r="H109" s="2">
        <v>104</v>
      </c>
      <c r="I109" s="33">
        <v>45801</v>
      </c>
      <c r="J109" s="8">
        <v>15</v>
      </c>
      <c r="K109" s="8">
        <v>10</v>
      </c>
      <c r="L109" s="8">
        <f t="shared" si="1"/>
        <v>25</v>
      </c>
    </row>
    <row r="110" spans="2:12" x14ac:dyDescent="0.25">
      <c r="B110">
        <v>105</v>
      </c>
      <c r="C110" s="28">
        <v>45261</v>
      </c>
      <c r="D110">
        <v>0</v>
      </c>
      <c r="E110" t="s">
        <v>130</v>
      </c>
      <c r="F110" s="2">
        <v>50</v>
      </c>
      <c r="G110" s="2">
        <v>55</v>
      </c>
      <c r="H110" s="2">
        <v>105</v>
      </c>
      <c r="I110" s="33">
        <v>45801</v>
      </c>
      <c r="J110" s="8">
        <v>15</v>
      </c>
      <c r="K110" s="8">
        <v>11</v>
      </c>
      <c r="L110" s="8">
        <f t="shared" si="1"/>
        <v>26</v>
      </c>
    </row>
    <row r="111" spans="2:12" x14ac:dyDescent="0.25">
      <c r="B111">
        <v>106</v>
      </c>
      <c r="C111" s="28">
        <v>45261</v>
      </c>
      <c r="D111">
        <v>1</v>
      </c>
      <c r="E111" t="s">
        <v>129</v>
      </c>
      <c r="F111" s="2">
        <v>51</v>
      </c>
      <c r="G111" s="2">
        <v>55</v>
      </c>
      <c r="H111" s="2">
        <v>106</v>
      </c>
      <c r="I111" s="33">
        <v>45801</v>
      </c>
      <c r="J111" s="8">
        <v>15</v>
      </c>
      <c r="K111" s="8">
        <v>11</v>
      </c>
      <c r="L111" s="8">
        <f t="shared" si="1"/>
        <v>26</v>
      </c>
    </row>
    <row r="112" spans="2:12" x14ac:dyDescent="0.25">
      <c r="B112">
        <v>107</v>
      </c>
      <c r="C112" s="28">
        <v>45261</v>
      </c>
      <c r="D112">
        <v>1</v>
      </c>
      <c r="E112" t="s">
        <v>129</v>
      </c>
      <c r="F112" s="2">
        <v>52</v>
      </c>
      <c r="G112" s="2">
        <v>55</v>
      </c>
      <c r="H112" s="2">
        <v>107</v>
      </c>
      <c r="I112" s="33">
        <v>45801</v>
      </c>
      <c r="J112" s="8">
        <v>15</v>
      </c>
      <c r="K112" s="8">
        <v>11</v>
      </c>
      <c r="L112" s="8">
        <f t="shared" si="1"/>
        <v>26</v>
      </c>
    </row>
    <row r="113" spans="2:12" x14ac:dyDescent="0.25">
      <c r="B113">
        <v>108</v>
      </c>
      <c r="C113" s="28">
        <v>45261</v>
      </c>
      <c r="D113">
        <v>1</v>
      </c>
      <c r="E113" t="s">
        <v>129</v>
      </c>
      <c r="F113" s="2">
        <v>53</v>
      </c>
      <c r="G113" s="2">
        <v>55</v>
      </c>
      <c r="H113" s="2">
        <v>108</v>
      </c>
      <c r="I113" s="33">
        <v>45801</v>
      </c>
      <c r="J113" s="8">
        <v>16</v>
      </c>
      <c r="K113" s="8">
        <v>11</v>
      </c>
      <c r="L113" s="8">
        <f t="shared" si="1"/>
        <v>27</v>
      </c>
    </row>
    <row r="114" spans="2:12" x14ac:dyDescent="0.25">
      <c r="B114">
        <v>109</v>
      </c>
      <c r="C114" s="28">
        <v>45292</v>
      </c>
      <c r="D114">
        <v>0</v>
      </c>
      <c r="E114" t="s">
        <v>130</v>
      </c>
      <c r="F114" s="2">
        <v>53</v>
      </c>
      <c r="G114" s="2">
        <v>56</v>
      </c>
      <c r="H114" s="2">
        <v>109</v>
      </c>
      <c r="I114" s="33">
        <v>45832</v>
      </c>
      <c r="J114" s="8">
        <v>16</v>
      </c>
      <c r="K114" s="8">
        <v>12</v>
      </c>
      <c r="L114" s="8">
        <f t="shared" si="1"/>
        <v>28</v>
      </c>
    </row>
    <row r="115" spans="2:12" x14ac:dyDescent="0.25">
      <c r="B115">
        <v>110</v>
      </c>
      <c r="C115" s="28">
        <v>45292</v>
      </c>
      <c r="D115">
        <v>0</v>
      </c>
      <c r="E115" t="s">
        <v>130</v>
      </c>
      <c r="F115" s="2">
        <v>53</v>
      </c>
      <c r="G115" s="2">
        <v>57</v>
      </c>
      <c r="H115" s="2">
        <v>110</v>
      </c>
      <c r="I115" s="33">
        <v>45832</v>
      </c>
      <c r="J115" s="8">
        <v>17</v>
      </c>
      <c r="K115" s="8">
        <v>12</v>
      </c>
      <c r="L115" s="8">
        <f t="shared" si="1"/>
        <v>29</v>
      </c>
    </row>
    <row r="116" spans="2:12" x14ac:dyDescent="0.25">
      <c r="B116">
        <v>111</v>
      </c>
      <c r="C116" s="28">
        <v>45292</v>
      </c>
      <c r="D116">
        <v>0</v>
      </c>
      <c r="E116" t="s">
        <v>130</v>
      </c>
      <c r="F116" s="2">
        <v>53</v>
      </c>
      <c r="G116" s="2">
        <v>58</v>
      </c>
      <c r="H116" s="2">
        <v>111</v>
      </c>
      <c r="I116" s="33">
        <v>45832</v>
      </c>
      <c r="J116" s="8">
        <v>17</v>
      </c>
      <c r="K116" s="8">
        <v>13</v>
      </c>
      <c r="L116" s="8">
        <f t="shared" si="1"/>
        <v>30</v>
      </c>
    </row>
    <row r="117" spans="2:12" x14ac:dyDescent="0.25">
      <c r="B117">
        <v>112</v>
      </c>
      <c r="C117" s="28">
        <v>45292</v>
      </c>
      <c r="D117">
        <v>1</v>
      </c>
      <c r="E117" t="s">
        <v>129</v>
      </c>
      <c r="F117" s="2">
        <v>54</v>
      </c>
      <c r="G117" s="2">
        <v>58</v>
      </c>
      <c r="H117" s="2">
        <v>112</v>
      </c>
      <c r="I117" s="33">
        <v>45832</v>
      </c>
      <c r="J117" s="8">
        <v>17</v>
      </c>
      <c r="K117" s="8">
        <v>13</v>
      </c>
      <c r="L117" s="8">
        <f t="shared" si="1"/>
        <v>30</v>
      </c>
    </row>
    <row r="118" spans="2:12" x14ac:dyDescent="0.25">
      <c r="B118">
        <v>113</v>
      </c>
      <c r="C118" s="28">
        <v>45292</v>
      </c>
      <c r="D118">
        <v>0</v>
      </c>
      <c r="E118" t="s">
        <v>130</v>
      </c>
      <c r="F118" s="2">
        <v>54</v>
      </c>
      <c r="G118" s="2">
        <v>59</v>
      </c>
      <c r="H118" s="2">
        <v>113</v>
      </c>
      <c r="I118" s="33">
        <v>45832</v>
      </c>
      <c r="J118" s="8">
        <v>17</v>
      </c>
      <c r="K118" s="8">
        <v>13</v>
      </c>
      <c r="L118" s="8">
        <f t="shared" si="1"/>
        <v>30</v>
      </c>
    </row>
    <row r="119" spans="2:12" x14ac:dyDescent="0.25">
      <c r="B119">
        <v>114</v>
      </c>
      <c r="C119" s="28">
        <v>45323</v>
      </c>
      <c r="D119">
        <v>1</v>
      </c>
      <c r="E119" t="s">
        <v>129</v>
      </c>
      <c r="F119" s="2">
        <v>55</v>
      </c>
      <c r="G119" s="2">
        <v>59</v>
      </c>
      <c r="H119" s="2">
        <v>114</v>
      </c>
      <c r="I119" s="33">
        <v>45863</v>
      </c>
      <c r="J119" s="8">
        <v>17</v>
      </c>
      <c r="K119" s="8">
        <v>14</v>
      </c>
      <c r="L119" s="8">
        <f t="shared" si="1"/>
        <v>31</v>
      </c>
    </row>
    <row r="120" spans="2:12" x14ac:dyDescent="0.25">
      <c r="B120">
        <v>115</v>
      </c>
      <c r="C120" s="28">
        <v>45323</v>
      </c>
      <c r="D120">
        <v>1</v>
      </c>
      <c r="E120" t="s">
        <v>129</v>
      </c>
      <c r="F120" s="2">
        <v>56</v>
      </c>
      <c r="G120" s="2">
        <v>59</v>
      </c>
      <c r="H120" s="2">
        <v>115</v>
      </c>
      <c r="I120" s="33">
        <v>45863</v>
      </c>
      <c r="J120" s="8">
        <v>18</v>
      </c>
      <c r="K120" s="8">
        <v>14</v>
      </c>
      <c r="L120" s="8">
        <f t="shared" si="1"/>
        <v>32</v>
      </c>
    </row>
    <row r="121" spans="2:12" x14ac:dyDescent="0.25">
      <c r="B121">
        <v>116</v>
      </c>
      <c r="C121" s="28">
        <v>45323</v>
      </c>
      <c r="D121">
        <v>0</v>
      </c>
      <c r="E121" t="s">
        <v>130</v>
      </c>
      <c r="F121" s="2">
        <v>56</v>
      </c>
      <c r="G121" s="2">
        <v>60</v>
      </c>
      <c r="H121" s="2">
        <v>116</v>
      </c>
      <c r="I121" s="33">
        <v>45863</v>
      </c>
      <c r="J121" s="8">
        <v>19</v>
      </c>
      <c r="K121" s="8">
        <v>14</v>
      </c>
      <c r="L121" s="8">
        <f t="shared" si="1"/>
        <v>33</v>
      </c>
    </row>
    <row r="122" spans="2:12" x14ac:dyDescent="0.25">
      <c r="B122">
        <v>117</v>
      </c>
      <c r="C122" s="28">
        <v>45323</v>
      </c>
      <c r="D122">
        <v>0</v>
      </c>
      <c r="E122" t="s">
        <v>130</v>
      </c>
      <c r="F122" s="2">
        <v>56</v>
      </c>
      <c r="G122" s="2">
        <v>61</v>
      </c>
      <c r="H122" s="2">
        <v>117</v>
      </c>
      <c r="I122" s="33">
        <v>45863</v>
      </c>
      <c r="J122" s="8">
        <v>19</v>
      </c>
      <c r="K122" s="8">
        <v>15</v>
      </c>
      <c r="L122" s="8">
        <f t="shared" si="1"/>
        <v>34</v>
      </c>
    </row>
    <row r="123" spans="2:12" x14ac:dyDescent="0.25">
      <c r="B123">
        <v>118</v>
      </c>
      <c r="C123" s="28">
        <v>45323</v>
      </c>
      <c r="D123">
        <v>1</v>
      </c>
      <c r="E123" t="s">
        <v>129</v>
      </c>
      <c r="F123" s="2">
        <v>57</v>
      </c>
      <c r="G123" s="2">
        <v>61</v>
      </c>
      <c r="H123" s="2">
        <v>118</v>
      </c>
      <c r="I123" s="33">
        <v>45863</v>
      </c>
      <c r="J123" s="8">
        <v>19</v>
      </c>
      <c r="K123" s="8">
        <v>15</v>
      </c>
      <c r="L123" s="8">
        <f t="shared" si="1"/>
        <v>34</v>
      </c>
    </row>
    <row r="124" spans="2:12" x14ac:dyDescent="0.25">
      <c r="B124">
        <v>119</v>
      </c>
      <c r="C124" s="28">
        <v>45352</v>
      </c>
      <c r="D124">
        <v>0</v>
      </c>
      <c r="E124" t="s">
        <v>130</v>
      </c>
      <c r="F124" s="2">
        <v>57</v>
      </c>
      <c r="G124" s="2">
        <v>62</v>
      </c>
      <c r="H124" s="2">
        <v>119</v>
      </c>
      <c r="I124" s="33">
        <v>45892</v>
      </c>
      <c r="J124" s="8">
        <v>20</v>
      </c>
      <c r="K124" s="8">
        <v>15</v>
      </c>
      <c r="L124" s="8">
        <f t="shared" si="1"/>
        <v>35</v>
      </c>
    </row>
    <row r="125" spans="2:12" x14ac:dyDescent="0.25">
      <c r="B125">
        <v>120</v>
      </c>
      <c r="C125" s="28">
        <v>45352</v>
      </c>
      <c r="D125">
        <v>1</v>
      </c>
      <c r="E125" t="s">
        <v>129</v>
      </c>
      <c r="F125" s="2">
        <v>58</v>
      </c>
      <c r="G125" s="2">
        <v>62</v>
      </c>
      <c r="H125" s="2">
        <v>120</v>
      </c>
      <c r="I125" s="33">
        <v>45892</v>
      </c>
      <c r="J125" s="8">
        <v>21</v>
      </c>
      <c r="K125" s="8">
        <v>15</v>
      </c>
      <c r="L125" s="8">
        <f t="shared" si="1"/>
        <v>36</v>
      </c>
    </row>
    <row r="126" spans="2:12" x14ac:dyDescent="0.25">
      <c r="B126">
        <v>121</v>
      </c>
      <c r="C126" s="28">
        <v>45352</v>
      </c>
      <c r="D126">
        <v>0</v>
      </c>
      <c r="E126" t="s">
        <v>130</v>
      </c>
      <c r="F126" s="2">
        <v>58</v>
      </c>
      <c r="G126" s="2">
        <v>63</v>
      </c>
      <c r="H126" s="2">
        <v>121</v>
      </c>
      <c r="I126" s="33">
        <v>45892</v>
      </c>
      <c r="J126" s="8">
        <v>22</v>
      </c>
      <c r="K126" s="8">
        <v>15</v>
      </c>
      <c r="L126" s="8">
        <f t="shared" si="1"/>
        <v>37</v>
      </c>
    </row>
    <row r="127" spans="2:12" x14ac:dyDescent="0.25">
      <c r="B127">
        <v>122</v>
      </c>
      <c r="C127" s="28">
        <v>45352</v>
      </c>
      <c r="D127">
        <v>0</v>
      </c>
      <c r="E127" t="s">
        <v>130</v>
      </c>
      <c r="F127" s="2">
        <v>58</v>
      </c>
      <c r="G127" s="2">
        <v>64</v>
      </c>
      <c r="H127" s="2">
        <v>122</v>
      </c>
      <c r="I127" s="33">
        <v>45892</v>
      </c>
      <c r="J127" s="8">
        <v>22</v>
      </c>
      <c r="K127" s="8">
        <v>16</v>
      </c>
      <c r="L127" s="8">
        <f t="shared" si="1"/>
        <v>38</v>
      </c>
    </row>
    <row r="128" spans="2:12" x14ac:dyDescent="0.25">
      <c r="B128">
        <v>123</v>
      </c>
      <c r="C128" s="28">
        <v>45352</v>
      </c>
      <c r="D128">
        <v>0</v>
      </c>
      <c r="E128" t="s">
        <v>130</v>
      </c>
      <c r="F128" s="2">
        <v>58</v>
      </c>
      <c r="G128" s="2">
        <v>65</v>
      </c>
      <c r="H128" s="2">
        <v>123</v>
      </c>
      <c r="I128" s="33">
        <v>45892</v>
      </c>
      <c r="J128" s="8">
        <v>22</v>
      </c>
      <c r="K128" s="8">
        <v>16</v>
      </c>
      <c r="L128" s="8">
        <f t="shared" si="1"/>
        <v>38</v>
      </c>
    </row>
    <row r="129" spans="2:12" x14ac:dyDescent="0.25">
      <c r="B129">
        <v>124</v>
      </c>
      <c r="C129" s="28">
        <v>45383</v>
      </c>
      <c r="D129">
        <v>1</v>
      </c>
      <c r="E129" t="s">
        <v>129</v>
      </c>
      <c r="F129" s="2">
        <v>59</v>
      </c>
      <c r="G129" s="2">
        <v>65</v>
      </c>
      <c r="H129" s="2">
        <v>124</v>
      </c>
      <c r="I129" s="33">
        <v>45923</v>
      </c>
      <c r="J129" s="8">
        <v>23</v>
      </c>
      <c r="K129" s="8">
        <v>16</v>
      </c>
      <c r="L129" s="8">
        <f t="shared" si="1"/>
        <v>39</v>
      </c>
    </row>
    <row r="130" spans="2:12" x14ac:dyDescent="0.25">
      <c r="B130">
        <v>125</v>
      </c>
      <c r="C130" s="28">
        <v>45383</v>
      </c>
      <c r="D130">
        <v>0</v>
      </c>
      <c r="E130" t="s">
        <v>130</v>
      </c>
      <c r="F130" s="2">
        <v>59</v>
      </c>
      <c r="G130" s="2">
        <v>66</v>
      </c>
      <c r="H130" s="2">
        <v>125</v>
      </c>
      <c r="I130" s="33">
        <v>45923</v>
      </c>
      <c r="J130" s="8">
        <v>23</v>
      </c>
      <c r="K130" s="8">
        <v>17</v>
      </c>
      <c r="L130" s="8">
        <f t="shared" si="1"/>
        <v>40</v>
      </c>
    </row>
    <row r="131" spans="2:12" x14ac:dyDescent="0.25">
      <c r="B131">
        <v>126</v>
      </c>
      <c r="C131" s="28">
        <v>45383</v>
      </c>
      <c r="D131">
        <v>1</v>
      </c>
      <c r="E131" t="s">
        <v>129</v>
      </c>
      <c r="F131" s="2">
        <v>60</v>
      </c>
      <c r="G131" s="2">
        <v>66</v>
      </c>
      <c r="H131" s="2">
        <v>126</v>
      </c>
      <c r="I131" s="33">
        <v>45923</v>
      </c>
      <c r="J131" s="8">
        <v>23</v>
      </c>
      <c r="K131" s="8">
        <v>18</v>
      </c>
      <c r="L131" s="8">
        <f t="shared" si="1"/>
        <v>41</v>
      </c>
    </row>
    <row r="132" spans="2:12" x14ac:dyDescent="0.25">
      <c r="B132">
        <v>127</v>
      </c>
      <c r="C132" s="28">
        <v>45383</v>
      </c>
      <c r="D132">
        <v>1</v>
      </c>
      <c r="E132" t="s">
        <v>129</v>
      </c>
      <c r="F132" s="2">
        <v>61</v>
      </c>
      <c r="G132" s="2">
        <v>66</v>
      </c>
      <c r="H132" s="2">
        <v>127</v>
      </c>
      <c r="I132" s="33">
        <v>45923</v>
      </c>
      <c r="J132" s="8">
        <v>23</v>
      </c>
      <c r="K132" s="8">
        <v>20</v>
      </c>
      <c r="L132" s="8">
        <f t="shared" si="1"/>
        <v>43</v>
      </c>
    </row>
    <row r="133" spans="2:12" x14ac:dyDescent="0.25">
      <c r="C133" s="28">
        <v>45413</v>
      </c>
      <c r="J133" s="8">
        <v>24</v>
      </c>
      <c r="K133" s="8">
        <v>24</v>
      </c>
      <c r="L133" s="8">
        <f t="shared" si="1"/>
        <v>48</v>
      </c>
    </row>
    <row r="134" spans="2:12" x14ac:dyDescent="0.25">
      <c r="C134" s="28">
        <v>45444</v>
      </c>
      <c r="J134" s="8">
        <v>27</v>
      </c>
      <c r="K134" s="8">
        <v>26</v>
      </c>
      <c r="L134" s="8">
        <f t="shared" si="1"/>
        <v>53</v>
      </c>
    </row>
    <row r="135" spans="2:12" x14ac:dyDescent="0.25">
      <c r="C135" s="28">
        <v>45474</v>
      </c>
      <c r="J135" s="8">
        <f>+J134+2</f>
        <v>29</v>
      </c>
      <c r="K135" s="8">
        <f>+K134+3</f>
        <v>29</v>
      </c>
      <c r="L135" s="8">
        <f t="shared" si="1"/>
        <v>58</v>
      </c>
    </row>
    <row r="136" spans="2:12" s="14" customFormat="1" ht="13" x14ac:dyDescent="0.3">
      <c r="C136" s="29">
        <v>45505</v>
      </c>
      <c r="F136" s="30"/>
      <c r="G136" s="30"/>
      <c r="H136" s="30"/>
      <c r="I136" s="30"/>
      <c r="J136" s="31">
        <f>+J135+4</f>
        <v>33</v>
      </c>
      <c r="K136" s="31">
        <f>+K135+1</f>
        <v>30</v>
      </c>
      <c r="L136" s="31">
        <f t="shared" si="1"/>
        <v>63</v>
      </c>
    </row>
    <row r="137" spans="2:12" x14ac:dyDescent="0.25">
      <c r="C137" s="28">
        <v>45536</v>
      </c>
      <c r="J137" s="8">
        <f>+J136</f>
        <v>33</v>
      </c>
      <c r="K137" s="8">
        <f>+K136+5</f>
        <v>35</v>
      </c>
      <c r="L137" s="34">
        <f t="shared" si="1"/>
        <v>68</v>
      </c>
    </row>
    <row r="138" spans="2:12" x14ac:dyDescent="0.25">
      <c r="C138" s="28">
        <v>45566</v>
      </c>
      <c r="J138" s="8">
        <f>+J137+3</f>
        <v>36</v>
      </c>
      <c r="K138" s="8">
        <f>+K137+2</f>
        <v>37</v>
      </c>
      <c r="L138" s="34">
        <f t="shared" si="1"/>
        <v>73</v>
      </c>
    </row>
    <row r="139" spans="2:12" x14ac:dyDescent="0.25">
      <c r="C139" s="28">
        <v>45597</v>
      </c>
      <c r="J139" s="8">
        <f>+J138+2</f>
        <v>38</v>
      </c>
      <c r="K139" s="8">
        <f>+K138+3</f>
        <v>40</v>
      </c>
      <c r="L139" s="34">
        <f t="shared" si="1"/>
        <v>78</v>
      </c>
    </row>
    <row r="140" spans="2:12" s="14" customFormat="1" ht="13" x14ac:dyDescent="0.3">
      <c r="C140" s="29">
        <v>45627</v>
      </c>
      <c r="F140" s="30"/>
      <c r="G140" s="30"/>
      <c r="H140" s="30"/>
      <c r="I140" s="30"/>
      <c r="J140" s="31">
        <f>+J139+2</f>
        <v>40</v>
      </c>
      <c r="K140" s="31">
        <f>+K139+3</f>
        <v>43</v>
      </c>
      <c r="L140" s="31">
        <f t="shared" si="1"/>
        <v>83</v>
      </c>
    </row>
    <row r="141" spans="2:12" x14ac:dyDescent="0.25">
      <c r="C141" s="28">
        <v>45658</v>
      </c>
    </row>
    <row r="142" spans="2:12" x14ac:dyDescent="0.25">
      <c r="C142" s="28">
        <v>45689</v>
      </c>
    </row>
    <row r="143" spans="2:12" x14ac:dyDescent="0.25">
      <c r="C143" s="28">
        <v>45717</v>
      </c>
    </row>
    <row r="144" spans="2:12" x14ac:dyDescent="0.25">
      <c r="C144" s="28">
        <v>45748</v>
      </c>
    </row>
    <row r="145" spans="3:3" x14ac:dyDescent="0.25">
      <c r="C145" s="28">
        <v>45778</v>
      </c>
    </row>
    <row r="146" spans="3:3" x14ac:dyDescent="0.25">
      <c r="C146" s="28">
        <v>45809</v>
      </c>
    </row>
    <row r="147" spans="3:3" x14ac:dyDescent="0.25">
      <c r="C147" s="28">
        <v>45839</v>
      </c>
    </row>
    <row r="148" spans="3:3" x14ac:dyDescent="0.25">
      <c r="C148" s="28">
        <v>45870</v>
      </c>
    </row>
    <row r="149" spans="3:3" x14ac:dyDescent="0.25">
      <c r="C149" s="28">
        <v>45901</v>
      </c>
    </row>
    <row r="150" spans="3:3" x14ac:dyDescent="0.25">
      <c r="C150" s="28">
        <v>45931</v>
      </c>
    </row>
    <row r="151" spans="3:3" x14ac:dyDescent="0.25">
      <c r="C151" s="28">
        <v>45962</v>
      </c>
    </row>
    <row r="152" spans="3:3" x14ac:dyDescent="0.25">
      <c r="C152" s="28">
        <v>45992</v>
      </c>
    </row>
  </sheetData>
  <mergeCells count="1">
    <mergeCell ref="J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CB5A-97C0-479D-A67D-93B760C6B700}">
  <dimension ref="B2:L152"/>
  <sheetViews>
    <sheetView zoomScale="145" zoomScaleNormal="145" workbookViewId="0">
      <pane xSplit="2" ySplit="5" topLeftCell="C120" activePane="bottomRight" state="frozen"/>
      <selection pane="topRight" activeCell="C1" sqref="C1"/>
      <selection pane="bottomLeft" activeCell="A6" sqref="A6"/>
      <selection pane="bottomRight" activeCell="C2" sqref="C2"/>
    </sheetView>
  </sheetViews>
  <sheetFormatPr defaultRowHeight="12.5" x14ac:dyDescent="0.25"/>
  <cols>
    <col min="3" max="3" width="9.6328125" customWidth="1"/>
    <col min="9" max="9" width="9.90625" bestFit="1" customWidth="1"/>
    <col min="10" max="12" width="8.7265625" style="8"/>
  </cols>
  <sheetData>
    <row r="2" spans="2:12" x14ac:dyDescent="0.25">
      <c r="B2" t="s">
        <v>126</v>
      </c>
      <c r="C2">
        <v>24</v>
      </c>
      <c r="E2" t="s">
        <v>121</v>
      </c>
    </row>
    <row r="3" spans="2:12" x14ac:dyDescent="0.25">
      <c r="B3" t="s">
        <v>126</v>
      </c>
      <c r="C3">
        <v>24</v>
      </c>
      <c r="E3" t="s">
        <v>115</v>
      </c>
    </row>
    <row r="4" spans="2:12" x14ac:dyDescent="0.25">
      <c r="J4" s="26" t="s">
        <v>112</v>
      </c>
      <c r="K4" s="26"/>
      <c r="L4" s="26"/>
    </row>
    <row r="5" spans="2:12" x14ac:dyDescent="0.25">
      <c r="B5" t="s">
        <v>119</v>
      </c>
      <c r="C5" t="s">
        <v>120</v>
      </c>
      <c r="D5" t="s">
        <v>123</v>
      </c>
      <c r="E5" t="s">
        <v>124</v>
      </c>
      <c r="F5" t="s">
        <v>121</v>
      </c>
      <c r="G5" t="s">
        <v>122</v>
      </c>
      <c r="H5" t="s">
        <v>117</v>
      </c>
      <c r="I5" t="s">
        <v>125</v>
      </c>
      <c r="J5" s="8" t="s">
        <v>121</v>
      </c>
      <c r="K5" s="8" t="s">
        <v>115</v>
      </c>
      <c r="L5" s="8" t="s">
        <v>117</v>
      </c>
    </row>
    <row r="6" spans="2:12" s="14" customFormat="1" ht="13" x14ac:dyDescent="0.3">
      <c r="B6" s="14">
        <v>1</v>
      </c>
      <c r="C6" s="29">
        <v>44197</v>
      </c>
      <c r="D6" s="14">
        <v>1</v>
      </c>
      <c r="E6" s="14" t="s">
        <v>129</v>
      </c>
      <c r="F6" s="14">
        <v>1</v>
      </c>
      <c r="G6" s="14">
        <v>0</v>
      </c>
      <c r="H6" s="14">
        <v>1</v>
      </c>
      <c r="I6" s="29">
        <v>44917</v>
      </c>
      <c r="J6" s="31">
        <v>0</v>
      </c>
      <c r="K6" s="31">
        <v>0</v>
      </c>
      <c r="L6" s="31">
        <f t="shared" ref="L6:L53" si="0">+K6+J6</f>
        <v>0</v>
      </c>
    </row>
    <row r="7" spans="2:12" s="14" customFormat="1" ht="13" x14ac:dyDescent="0.3">
      <c r="B7" s="14">
        <v>2</v>
      </c>
      <c r="C7" s="29">
        <v>44228</v>
      </c>
      <c r="D7" s="14">
        <v>0</v>
      </c>
      <c r="E7" s="14" t="s">
        <v>130</v>
      </c>
      <c r="F7" s="14">
        <v>1</v>
      </c>
      <c r="G7" s="14">
        <v>1</v>
      </c>
      <c r="H7" s="14">
        <v>2</v>
      </c>
      <c r="I7" s="29">
        <v>44948</v>
      </c>
      <c r="J7" s="31">
        <v>0</v>
      </c>
      <c r="K7" s="31">
        <v>0</v>
      </c>
      <c r="L7" s="31">
        <f t="shared" si="0"/>
        <v>0</v>
      </c>
    </row>
    <row r="8" spans="2:12" s="14" customFormat="1" ht="13" x14ac:dyDescent="0.3">
      <c r="B8" s="14">
        <v>3</v>
      </c>
      <c r="C8" s="29">
        <v>44256</v>
      </c>
      <c r="D8" s="14">
        <v>0</v>
      </c>
      <c r="E8" s="14" t="s">
        <v>130</v>
      </c>
      <c r="F8" s="14">
        <v>1</v>
      </c>
      <c r="G8" s="14">
        <v>2</v>
      </c>
      <c r="H8" s="14">
        <v>3</v>
      </c>
      <c r="I8" s="29">
        <v>44976</v>
      </c>
      <c r="J8" s="31">
        <v>0</v>
      </c>
      <c r="K8" s="31">
        <v>0</v>
      </c>
      <c r="L8" s="31">
        <f t="shared" si="0"/>
        <v>0</v>
      </c>
    </row>
    <row r="9" spans="2:12" s="14" customFormat="1" ht="13" x14ac:dyDescent="0.3">
      <c r="B9" s="14">
        <v>4</v>
      </c>
      <c r="C9" s="29">
        <v>44287</v>
      </c>
      <c r="D9" s="14">
        <v>1</v>
      </c>
      <c r="E9" s="14" t="s">
        <v>129</v>
      </c>
      <c r="F9" s="14">
        <v>2</v>
      </c>
      <c r="G9" s="14">
        <v>2</v>
      </c>
      <c r="H9" s="14">
        <v>4</v>
      </c>
      <c r="I9" s="29">
        <v>45007</v>
      </c>
      <c r="J9" s="31">
        <v>0</v>
      </c>
      <c r="K9" s="31">
        <v>0</v>
      </c>
      <c r="L9" s="31">
        <f t="shared" si="0"/>
        <v>0</v>
      </c>
    </row>
    <row r="10" spans="2:12" s="14" customFormat="1" ht="13" x14ac:dyDescent="0.3">
      <c r="B10" s="14">
        <v>5</v>
      </c>
      <c r="C10" s="29">
        <v>44317</v>
      </c>
      <c r="D10" s="14">
        <v>0</v>
      </c>
      <c r="E10" s="14" t="s">
        <v>130</v>
      </c>
      <c r="F10" s="14">
        <v>2</v>
      </c>
      <c r="G10" s="14">
        <v>3</v>
      </c>
      <c r="H10" s="14">
        <v>5</v>
      </c>
      <c r="I10" s="29">
        <v>45037</v>
      </c>
      <c r="J10" s="31">
        <v>0</v>
      </c>
      <c r="K10" s="31">
        <v>0</v>
      </c>
      <c r="L10" s="31">
        <f t="shared" si="0"/>
        <v>0</v>
      </c>
    </row>
    <row r="11" spans="2:12" s="14" customFormat="1" ht="13" x14ac:dyDescent="0.3">
      <c r="B11" s="14">
        <v>6</v>
      </c>
      <c r="C11" s="29">
        <v>44348</v>
      </c>
      <c r="D11" s="14">
        <v>0</v>
      </c>
      <c r="E11" s="14" t="s">
        <v>130</v>
      </c>
      <c r="F11" s="14">
        <v>2</v>
      </c>
      <c r="G11" s="14">
        <v>4</v>
      </c>
      <c r="H11" s="14">
        <v>6</v>
      </c>
      <c r="I11" s="29">
        <v>45068</v>
      </c>
      <c r="J11" s="31">
        <v>0</v>
      </c>
      <c r="K11" s="31">
        <v>0</v>
      </c>
      <c r="L11" s="31">
        <f t="shared" si="0"/>
        <v>0</v>
      </c>
    </row>
    <row r="12" spans="2:12" s="14" customFormat="1" ht="13" x14ac:dyDescent="0.3">
      <c r="B12" s="14">
        <v>7</v>
      </c>
      <c r="C12" s="29">
        <v>44378</v>
      </c>
      <c r="D12" s="14">
        <v>1</v>
      </c>
      <c r="E12" s="14" t="s">
        <v>129</v>
      </c>
      <c r="F12" s="14">
        <v>3</v>
      </c>
      <c r="G12" s="14">
        <v>4</v>
      </c>
      <c r="H12" s="14">
        <v>7</v>
      </c>
      <c r="I12" s="29">
        <v>45098</v>
      </c>
      <c r="J12" s="31">
        <v>0</v>
      </c>
      <c r="K12" s="31">
        <v>0</v>
      </c>
      <c r="L12" s="31">
        <f t="shared" si="0"/>
        <v>0</v>
      </c>
    </row>
    <row r="13" spans="2:12" s="14" customFormat="1" ht="13" x14ac:dyDescent="0.3">
      <c r="B13" s="14">
        <v>8</v>
      </c>
      <c r="C13" s="29">
        <v>44409</v>
      </c>
      <c r="D13" s="14">
        <v>1</v>
      </c>
      <c r="E13" s="14" t="s">
        <v>129</v>
      </c>
      <c r="F13" s="14">
        <v>4</v>
      </c>
      <c r="G13" s="14">
        <v>4</v>
      </c>
      <c r="H13" s="14">
        <v>8</v>
      </c>
      <c r="I13" s="29">
        <v>45129</v>
      </c>
      <c r="J13" s="31">
        <v>0</v>
      </c>
      <c r="K13" s="31">
        <v>0</v>
      </c>
      <c r="L13" s="31">
        <f t="shared" si="0"/>
        <v>0</v>
      </c>
    </row>
    <row r="14" spans="2:12" s="14" customFormat="1" ht="13" x14ac:dyDescent="0.3">
      <c r="B14" s="14">
        <v>9</v>
      </c>
      <c r="C14" s="29">
        <v>44440</v>
      </c>
      <c r="D14" s="14">
        <v>0</v>
      </c>
      <c r="E14" s="14" t="s">
        <v>130</v>
      </c>
      <c r="F14" s="14">
        <v>4</v>
      </c>
      <c r="G14" s="14">
        <v>5</v>
      </c>
      <c r="H14" s="14">
        <v>9</v>
      </c>
      <c r="I14" s="29">
        <v>45160</v>
      </c>
      <c r="J14" s="31">
        <v>0</v>
      </c>
      <c r="K14" s="31">
        <v>0</v>
      </c>
      <c r="L14" s="31">
        <f t="shared" si="0"/>
        <v>0</v>
      </c>
    </row>
    <row r="15" spans="2:12" s="14" customFormat="1" ht="13" x14ac:dyDescent="0.3">
      <c r="B15" s="14">
        <v>10</v>
      </c>
      <c r="C15" s="29">
        <v>44470</v>
      </c>
      <c r="D15" s="14">
        <v>1</v>
      </c>
      <c r="E15" s="14" t="s">
        <v>129</v>
      </c>
      <c r="F15" s="14">
        <v>5</v>
      </c>
      <c r="G15" s="14">
        <v>5</v>
      </c>
      <c r="H15" s="14">
        <v>10</v>
      </c>
      <c r="I15" s="29">
        <v>45190</v>
      </c>
      <c r="J15" s="31">
        <v>0</v>
      </c>
      <c r="K15" s="31">
        <v>0</v>
      </c>
      <c r="L15" s="31">
        <f t="shared" si="0"/>
        <v>0</v>
      </c>
    </row>
    <row r="16" spans="2:12" s="14" customFormat="1" ht="13" x14ac:dyDescent="0.3">
      <c r="B16" s="14">
        <v>11</v>
      </c>
      <c r="C16" s="29">
        <v>44501</v>
      </c>
      <c r="D16" s="14">
        <v>1</v>
      </c>
      <c r="E16" s="14" t="s">
        <v>129</v>
      </c>
      <c r="F16" s="14">
        <v>6</v>
      </c>
      <c r="G16" s="14">
        <v>5</v>
      </c>
      <c r="H16" s="14">
        <v>11</v>
      </c>
      <c r="I16" s="29">
        <v>45221</v>
      </c>
      <c r="J16" s="31">
        <v>0</v>
      </c>
      <c r="K16" s="31">
        <v>0</v>
      </c>
      <c r="L16" s="31">
        <f t="shared" si="0"/>
        <v>0</v>
      </c>
    </row>
    <row r="17" spans="2:12" s="14" customFormat="1" ht="13" x14ac:dyDescent="0.3">
      <c r="B17" s="14">
        <v>12</v>
      </c>
      <c r="C17" s="29">
        <v>44531</v>
      </c>
      <c r="D17" s="14">
        <v>1</v>
      </c>
      <c r="E17" s="14" t="s">
        <v>129</v>
      </c>
      <c r="F17" s="14">
        <v>7</v>
      </c>
      <c r="G17" s="14">
        <v>5</v>
      </c>
      <c r="H17" s="14">
        <v>12</v>
      </c>
      <c r="I17" s="29">
        <v>45251</v>
      </c>
      <c r="J17" s="31">
        <v>0</v>
      </c>
      <c r="K17" s="31">
        <v>0</v>
      </c>
      <c r="L17" s="31">
        <f t="shared" si="0"/>
        <v>0</v>
      </c>
    </row>
    <row r="18" spans="2:12" s="14" customFormat="1" ht="13" x14ac:dyDescent="0.3">
      <c r="B18" s="14">
        <v>13</v>
      </c>
      <c r="C18" s="29">
        <v>44562</v>
      </c>
      <c r="D18" s="14">
        <v>1</v>
      </c>
      <c r="E18" s="14" t="s">
        <v>129</v>
      </c>
      <c r="F18" s="14">
        <v>8</v>
      </c>
      <c r="G18" s="14">
        <v>5</v>
      </c>
      <c r="H18" s="14">
        <v>13</v>
      </c>
      <c r="I18" s="29">
        <v>45282</v>
      </c>
      <c r="J18" s="31">
        <v>0</v>
      </c>
      <c r="K18" s="31">
        <v>0</v>
      </c>
      <c r="L18" s="31">
        <f t="shared" si="0"/>
        <v>0</v>
      </c>
    </row>
    <row r="19" spans="2:12" s="14" customFormat="1" ht="13" x14ac:dyDescent="0.3">
      <c r="B19" s="14">
        <v>14</v>
      </c>
      <c r="C19" s="29">
        <v>44593</v>
      </c>
      <c r="D19" s="14">
        <v>1</v>
      </c>
      <c r="E19" s="14" t="s">
        <v>129</v>
      </c>
      <c r="F19" s="14">
        <v>9</v>
      </c>
      <c r="G19" s="14">
        <v>5</v>
      </c>
      <c r="H19" s="14">
        <v>14</v>
      </c>
      <c r="I19" s="29">
        <v>45313</v>
      </c>
      <c r="J19" s="31">
        <v>0</v>
      </c>
      <c r="K19" s="31">
        <v>0</v>
      </c>
      <c r="L19" s="31">
        <f t="shared" si="0"/>
        <v>0</v>
      </c>
    </row>
    <row r="20" spans="2:12" s="14" customFormat="1" ht="13" x14ac:dyDescent="0.3">
      <c r="B20" s="14">
        <v>15</v>
      </c>
      <c r="C20" s="29">
        <v>44621</v>
      </c>
      <c r="D20" s="14">
        <v>0</v>
      </c>
      <c r="E20" s="14" t="s">
        <v>130</v>
      </c>
      <c r="F20" s="14">
        <v>9</v>
      </c>
      <c r="G20" s="14">
        <v>6</v>
      </c>
      <c r="H20" s="14">
        <v>15</v>
      </c>
      <c r="I20" s="29">
        <v>45341</v>
      </c>
      <c r="J20" s="31">
        <v>0</v>
      </c>
      <c r="K20" s="31">
        <v>0</v>
      </c>
      <c r="L20" s="31">
        <f t="shared" si="0"/>
        <v>0</v>
      </c>
    </row>
    <row r="21" spans="2:12" s="14" customFormat="1" ht="13" x14ac:dyDescent="0.3">
      <c r="B21" s="14">
        <v>16</v>
      </c>
      <c r="C21" s="29">
        <v>44621</v>
      </c>
      <c r="D21" s="14">
        <v>0</v>
      </c>
      <c r="E21" s="14" t="s">
        <v>130</v>
      </c>
      <c r="F21" s="14">
        <v>9</v>
      </c>
      <c r="G21" s="14">
        <v>7</v>
      </c>
      <c r="H21" s="14">
        <v>16</v>
      </c>
      <c r="I21" s="29">
        <v>45341</v>
      </c>
      <c r="J21" s="31">
        <v>0</v>
      </c>
      <c r="K21" s="31">
        <v>0</v>
      </c>
      <c r="L21" s="31">
        <f t="shared" si="0"/>
        <v>0</v>
      </c>
    </row>
    <row r="22" spans="2:12" s="14" customFormat="1" ht="13" x14ac:dyDescent="0.3">
      <c r="B22" s="14">
        <v>17</v>
      </c>
      <c r="C22" s="29">
        <v>44652</v>
      </c>
      <c r="D22" s="14">
        <v>1</v>
      </c>
      <c r="E22" s="14" t="s">
        <v>129</v>
      </c>
      <c r="F22" s="14">
        <v>10</v>
      </c>
      <c r="G22" s="14">
        <v>7</v>
      </c>
      <c r="H22" s="14">
        <v>17</v>
      </c>
      <c r="I22" s="29">
        <v>45372</v>
      </c>
      <c r="J22" s="31">
        <v>0</v>
      </c>
      <c r="K22" s="31">
        <v>0</v>
      </c>
      <c r="L22" s="31">
        <f t="shared" si="0"/>
        <v>0</v>
      </c>
    </row>
    <row r="23" spans="2:12" s="14" customFormat="1" ht="13" x14ac:dyDescent="0.3">
      <c r="B23" s="14">
        <v>18</v>
      </c>
      <c r="C23" s="29">
        <v>44652</v>
      </c>
      <c r="D23" s="14">
        <v>0</v>
      </c>
      <c r="E23" s="14" t="s">
        <v>130</v>
      </c>
      <c r="F23" s="14">
        <v>10</v>
      </c>
      <c r="G23" s="14">
        <v>8</v>
      </c>
      <c r="H23" s="14">
        <v>18</v>
      </c>
      <c r="I23" s="29">
        <v>45372</v>
      </c>
      <c r="J23" s="31">
        <v>0</v>
      </c>
      <c r="K23" s="31">
        <v>0</v>
      </c>
      <c r="L23" s="31">
        <f t="shared" si="0"/>
        <v>0</v>
      </c>
    </row>
    <row r="24" spans="2:12" s="14" customFormat="1" ht="13" x14ac:dyDescent="0.3">
      <c r="B24" s="14">
        <v>19</v>
      </c>
      <c r="C24" s="29">
        <v>44682</v>
      </c>
      <c r="D24" s="14">
        <v>0</v>
      </c>
      <c r="E24" s="14" t="s">
        <v>130</v>
      </c>
      <c r="F24" s="14">
        <v>10</v>
      </c>
      <c r="G24" s="14">
        <v>9</v>
      </c>
      <c r="H24" s="14">
        <v>19</v>
      </c>
      <c r="I24" s="29">
        <v>45402</v>
      </c>
      <c r="J24" s="31">
        <v>0</v>
      </c>
      <c r="K24" s="31">
        <v>0</v>
      </c>
      <c r="L24" s="31">
        <f t="shared" si="0"/>
        <v>0</v>
      </c>
    </row>
    <row r="25" spans="2:12" s="14" customFormat="1" ht="13" x14ac:dyDescent="0.3">
      <c r="B25" s="14">
        <v>20</v>
      </c>
      <c r="C25" s="29">
        <v>44682</v>
      </c>
      <c r="D25" s="14">
        <v>1</v>
      </c>
      <c r="E25" s="14" t="s">
        <v>129</v>
      </c>
      <c r="F25" s="14">
        <v>11</v>
      </c>
      <c r="G25" s="14">
        <v>9</v>
      </c>
      <c r="H25" s="14">
        <v>20</v>
      </c>
      <c r="I25" s="29">
        <v>45402</v>
      </c>
      <c r="J25" s="31">
        <v>0</v>
      </c>
      <c r="K25" s="31">
        <v>0</v>
      </c>
      <c r="L25" s="31">
        <f t="shared" si="0"/>
        <v>0</v>
      </c>
    </row>
    <row r="26" spans="2:12" s="14" customFormat="1" ht="13" x14ac:dyDescent="0.3">
      <c r="B26" s="14">
        <v>21</v>
      </c>
      <c r="C26" s="29">
        <v>44682</v>
      </c>
      <c r="D26" s="14">
        <v>0</v>
      </c>
      <c r="E26" s="14" t="s">
        <v>130</v>
      </c>
      <c r="F26" s="14">
        <v>11</v>
      </c>
      <c r="G26" s="14">
        <v>10</v>
      </c>
      <c r="H26" s="14">
        <v>21</v>
      </c>
      <c r="I26" s="29">
        <v>45402</v>
      </c>
      <c r="J26" s="31">
        <v>0</v>
      </c>
      <c r="K26" s="31">
        <v>0</v>
      </c>
      <c r="L26" s="31">
        <f t="shared" si="0"/>
        <v>0</v>
      </c>
    </row>
    <row r="27" spans="2:12" s="14" customFormat="1" ht="13" x14ac:dyDescent="0.3">
      <c r="B27" s="14">
        <v>22</v>
      </c>
      <c r="C27" s="29">
        <v>44713</v>
      </c>
      <c r="D27" s="14">
        <v>0</v>
      </c>
      <c r="E27" s="14" t="s">
        <v>130</v>
      </c>
      <c r="F27" s="14">
        <v>11</v>
      </c>
      <c r="G27" s="14">
        <v>11</v>
      </c>
      <c r="H27" s="14">
        <v>22</v>
      </c>
      <c r="I27" s="29">
        <v>45433</v>
      </c>
      <c r="J27" s="31">
        <v>0</v>
      </c>
      <c r="K27" s="31">
        <v>0</v>
      </c>
      <c r="L27" s="31">
        <f t="shared" si="0"/>
        <v>0</v>
      </c>
    </row>
    <row r="28" spans="2:12" s="14" customFormat="1" ht="13" x14ac:dyDescent="0.3">
      <c r="B28" s="14">
        <v>23</v>
      </c>
      <c r="C28" s="29">
        <v>44713</v>
      </c>
      <c r="D28" s="14">
        <v>1</v>
      </c>
      <c r="E28" s="14" t="s">
        <v>129</v>
      </c>
      <c r="F28" s="14">
        <v>12</v>
      </c>
      <c r="G28" s="14">
        <v>11</v>
      </c>
      <c r="H28" s="14">
        <v>23</v>
      </c>
      <c r="I28" s="29">
        <v>45433</v>
      </c>
      <c r="J28" s="31">
        <v>0</v>
      </c>
      <c r="K28" s="31">
        <v>0</v>
      </c>
      <c r="L28" s="31">
        <f t="shared" si="0"/>
        <v>0</v>
      </c>
    </row>
    <row r="29" spans="2:12" s="14" customFormat="1" ht="13" x14ac:dyDescent="0.3">
      <c r="B29" s="14">
        <v>24</v>
      </c>
      <c r="C29" s="29">
        <v>44713</v>
      </c>
      <c r="D29" s="14">
        <v>1</v>
      </c>
      <c r="E29" s="14" t="s">
        <v>129</v>
      </c>
      <c r="F29" s="14">
        <v>13</v>
      </c>
      <c r="G29" s="14">
        <v>11</v>
      </c>
      <c r="H29" s="14">
        <v>24</v>
      </c>
      <c r="I29" s="29">
        <v>45433</v>
      </c>
      <c r="J29" s="31">
        <v>0</v>
      </c>
      <c r="K29" s="31">
        <v>0</v>
      </c>
      <c r="L29" s="31">
        <f t="shared" si="0"/>
        <v>0</v>
      </c>
    </row>
    <row r="30" spans="2:12" s="14" customFormat="1" ht="13" x14ac:dyDescent="0.3">
      <c r="B30" s="14">
        <v>25</v>
      </c>
      <c r="C30" s="29">
        <v>44743</v>
      </c>
      <c r="D30" s="14">
        <v>1</v>
      </c>
      <c r="E30" s="14" t="s">
        <v>129</v>
      </c>
      <c r="F30" s="14">
        <v>14</v>
      </c>
      <c r="G30" s="14">
        <v>11</v>
      </c>
      <c r="H30" s="14">
        <v>25</v>
      </c>
      <c r="I30" s="29">
        <v>45463</v>
      </c>
      <c r="J30" s="31">
        <v>0</v>
      </c>
      <c r="K30" s="31">
        <v>0</v>
      </c>
      <c r="L30" s="31">
        <f t="shared" si="0"/>
        <v>0</v>
      </c>
    </row>
    <row r="31" spans="2:12" s="14" customFormat="1" ht="13" x14ac:dyDescent="0.3">
      <c r="B31" s="14">
        <v>26</v>
      </c>
      <c r="C31" s="29">
        <v>44743</v>
      </c>
      <c r="D31" s="14">
        <v>0</v>
      </c>
      <c r="E31" s="14" t="s">
        <v>130</v>
      </c>
      <c r="F31" s="14">
        <v>14</v>
      </c>
      <c r="G31" s="14">
        <v>12</v>
      </c>
      <c r="H31" s="14">
        <v>26</v>
      </c>
      <c r="I31" s="29">
        <v>45463</v>
      </c>
      <c r="J31" s="31">
        <v>0</v>
      </c>
      <c r="K31" s="31">
        <v>0</v>
      </c>
      <c r="L31" s="31">
        <f t="shared" si="0"/>
        <v>0</v>
      </c>
    </row>
    <row r="32" spans="2:12" s="14" customFormat="1" ht="13" x14ac:dyDescent="0.3">
      <c r="B32" s="14">
        <v>27</v>
      </c>
      <c r="C32" s="29">
        <v>44743</v>
      </c>
      <c r="D32" s="14">
        <v>0</v>
      </c>
      <c r="E32" s="14" t="s">
        <v>130</v>
      </c>
      <c r="F32" s="14">
        <v>14</v>
      </c>
      <c r="G32" s="14">
        <v>13</v>
      </c>
      <c r="H32" s="14">
        <v>27</v>
      </c>
      <c r="I32" s="29">
        <v>45463</v>
      </c>
      <c r="J32" s="31">
        <v>0</v>
      </c>
      <c r="K32" s="31">
        <v>0</v>
      </c>
      <c r="L32" s="31">
        <f t="shared" si="0"/>
        <v>0</v>
      </c>
    </row>
    <row r="33" spans="2:12" s="14" customFormat="1" ht="13" x14ac:dyDescent="0.3">
      <c r="B33" s="14">
        <v>28</v>
      </c>
      <c r="C33" s="29">
        <v>44774</v>
      </c>
      <c r="D33" s="14">
        <v>1</v>
      </c>
      <c r="E33" s="14" t="s">
        <v>129</v>
      </c>
      <c r="F33" s="14">
        <v>15</v>
      </c>
      <c r="G33" s="14">
        <v>13</v>
      </c>
      <c r="H33" s="14">
        <v>28</v>
      </c>
      <c r="I33" s="29">
        <v>45494</v>
      </c>
      <c r="J33" s="31">
        <v>0</v>
      </c>
      <c r="K33" s="31">
        <v>0</v>
      </c>
      <c r="L33" s="31">
        <f t="shared" si="0"/>
        <v>0</v>
      </c>
    </row>
    <row r="34" spans="2:12" s="14" customFormat="1" ht="13" x14ac:dyDescent="0.3">
      <c r="B34" s="14">
        <v>29</v>
      </c>
      <c r="C34" s="29">
        <v>44774</v>
      </c>
      <c r="D34" s="14">
        <v>1</v>
      </c>
      <c r="E34" s="14" t="s">
        <v>129</v>
      </c>
      <c r="F34" s="14">
        <v>16</v>
      </c>
      <c r="G34" s="14">
        <v>13</v>
      </c>
      <c r="H34" s="14">
        <v>29</v>
      </c>
      <c r="I34" s="29">
        <v>45494</v>
      </c>
      <c r="J34" s="31">
        <v>0</v>
      </c>
      <c r="K34" s="31">
        <v>0</v>
      </c>
      <c r="L34" s="31">
        <f t="shared" si="0"/>
        <v>0</v>
      </c>
    </row>
    <row r="35" spans="2:12" s="14" customFormat="1" ht="13" x14ac:dyDescent="0.3">
      <c r="B35" s="14">
        <v>30</v>
      </c>
      <c r="C35" s="29">
        <v>44774</v>
      </c>
      <c r="D35" s="14">
        <v>0</v>
      </c>
      <c r="E35" s="14" t="s">
        <v>130</v>
      </c>
      <c r="F35" s="14">
        <v>16</v>
      </c>
      <c r="G35" s="14">
        <v>14</v>
      </c>
      <c r="H35" s="14">
        <v>30</v>
      </c>
      <c r="I35" s="29">
        <v>45494</v>
      </c>
      <c r="J35" s="31">
        <v>0</v>
      </c>
      <c r="K35" s="31">
        <v>0</v>
      </c>
      <c r="L35" s="31">
        <f t="shared" si="0"/>
        <v>0</v>
      </c>
    </row>
    <row r="36" spans="2:12" s="14" customFormat="1" ht="13" x14ac:dyDescent="0.3">
      <c r="B36" s="14">
        <v>31</v>
      </c>
      <c r="C36" s="29">
        <v>44805</v>
      </c>
      <c r="D36" s="14">
        <v>0</v>
      </c>
      <c r="E36" s="14" t="s">
        <v>130</v>
      </c>
      <c r="F36" s="14">
        <v>16</v>
      </c>
      <c r="G36" s="14">
        <v>15</v>
      </c>
      <c r="H36" s="14">
        <v>31</v>
      </c>
      <c r="I36" s="29">
        <v>45525</v>
      </c>
      <c r="J36" s="31">
        <v>0</v>
      </c>
      <c r="K36" s="31">
        <v>0</v>
      </c>
      <c r="L36" s="31">
        <f t="shared" si="0"/>
        <v>0</v>
      </c>
    </row>
    <row r="37" spans="2:12" s="14" customFormat="1" ht="13" x14ac:dyDescent="0.3">
      <c r="B37" s="14">
        <v>32</v>
      </c>
      <c r="C37" s="29">
        <v>44805</v>
      </c>
      <c r="D37" s="14">
        <v>0</v>
      </c>
      <c r="E37" s="14" t="s">
        <v>130</v>
      </c>
      <c r="F37" s="14">
        <v>16</v>
      </c>
      <c r="G37" s="14">
        <v>16</v>
      </c>
      <c r="H37" s="14">
        <v>32</v>
      </c>
      <c r="I37" s="29">
        <v>45525</v>
      </c>
      <c r="J37" s="31">
        <v>0</v>
      </c>
      <c r="K37" s="31">
        <v>0</v>
      </c>
      <c r="L37" s="31">
        <f t="shared" si="0"/>
        <v>0</v>
      </c>
    </row>
    <row r="38" spans="2:12" s="14" customFormat="1" ht="13" x14ac:dyDescent="0.3">
      <c r="B38" s="14">
        <v>33</v>
      </c>
      <c r="C38" s="29">
        <v>44805</v>
      </c>
      <c r="D38" s="14">
        <v>1</v>
      </c>
      <c r="E38" s="14" t="s">
        <v>129</v>
      </c>
      <c r="F38" s="14">
        <v>17</v>
      </c>
      <c r="G38" s="14">
        <v>16</v>
      </c>
      <c r="H38" s="14">
        <v>33</v>
      </c>
      <c r="I38" s="29">
        <v>45525</v>
      </c>
      <c r="J38" s="31">
        <v>0</v>
      </c>
      <c r="K38" s="31">
        <v>0</v>
      </c>
      <c r="L38" s="31">
        <f t="shared" si="0"/>
        <v>0</v>
      </c>
    </row>
    <row r="39" spans="2:12" s="14" customFormat="1" ht="13" x14ac:dyDescent="0.3">
      <c r="B39" s="14">
        <v>34</v>
      </c>
      <c r="C39" s="29">
        <v>44805</v>
      </c>
      <c r="D39" s="14">
        <v>0</v>
      </c>
      <c r="E39" s="14" t="s">
        <v>130</v>
      </c>
      <c r="F39" s="14">
        <v>17</v>
      </c>
      <c r="G39" s="14">
        <v>17</v>
      </c>
      <c r="H39" s="14">
        <v>34</v>
      </c>
      <c r="I39" s="29">
        <v>45525</v>
      </c>
      <c r="J39" s="31">
        <v>0</v>
      </c>
      <c r="K39" s="31">
        <v>0</v>
      </c>
      <c r="L39" s="31">
        <f t="shared" si="0"/>
        <v>0</v>
      </c>
    </row>
    <row r="40" spans="2:12" s="14" customFormat="1" ht="13" x14ac:dyDescent="0.3">
      <c r="B40" s="14">
        <v>35</v>
      </c>
      <c r="C40" s="29">
        <v>44835</v>
      </c>
      <c r="D40" s="14">
        <v>0</v>
      </c>
      <c r="E40" s="14" t="s">
        <v>130</v>
      </c>
      <c r="F40" s="14">
        <v>17</v>
      </c>
      <c r="G40" s="14">
        <v>18</v>
      </c>
      <c r="H40" s="14">
        <v>35</v>
      </c>
      <c r="I40" s="29">
        <v>45555</v>
      </c>
      <c r="J40" s="31">
        <v>0</v>
      </c>
      <c r="K40" s="31">
        <v>0</v>
      </c>
      <c r="L40" s="31">
        <f t="shared" si="0"/>
        <v>0</v>
      </c>
    </row>
    <row r="41" spans="2:12" s="14" customFormat="1" ht="13" x14ac:dyDescent="0.3">
      <c r="B41" s="14">
        <v>36</v>
      </c>
      <c r="C41" s="29">
        <v>44835</v>
      </c>
      <c r="D41" s="14">
        <v>1</v>
      </c>
      <c r="E41" s="14" t="s">
        <v>129</v>
      </c>
      <c r="F41" s="14">
        <v>18</v>
      </c>
      <c r="G41" s="14">
        <v>18</v>
      </c>
      <c r="H41" s="14">
        <v>36</v>
      </c>
      <c r="I41" s="29">
        <v>45555</v>
      </c>
      <c r="J41" s="31">
        <v>0</v>
      </c>
      <c r="K41" s="31">
        <v>0</v>
      </c>
      <c r="L41" s="31">
        <f t="shared" si="0"/>
        <v>0</v>
      </c>
    </row>
    <row r="42" spans="2:12" s="14" customFormat="1" ht="13" x14ac:dyDescent="0.3">
      <c r="B42" s="14">
        <v>37</v>
      </c>
      <c r="C42" s="29">
        <v>44835</v>
      </c>
      <c r="D42" s="14">
        <v>1</v>
      </c>
      <c r="E42" s="14" t="s">
        <v>129</v>
      </c>
      <c r="F42" s="14">
        <v>19</v>
      </c>
      <c r="G42" s="14">
        <v>18</v>
      </c>
      <c r="H42" s="14">
        <v>37</v>
      </c>
      <c r="I42" s="29">
        <v>45555</v>
      </c>
      <c r="J42" s="31">
        <v>0</v>
      </c>
      <c r="K42" s="31">
        <v>0</v>
      </c>
      <c r="L42" s="31">
        <f t="shared" si="0"/>
        <v>0</v>
      </c>
    </row>
    <row r="43" spans="2:12" s="14" customFormat="1" ht="13" x14ac:dyDescent="0.3">
      <c r="B43" s="14">
        <v>38</v>
      </c>
      <c r="C43" s="29">
        <v>44835</v>
      </c>
      <c r="D43" s="14">
        <v>1</v>
      </c>
      <c r="E43" s="14" t="s">
        <v>129</v>
      </c>
      <c r="F43" s="14">
        <v>20</v>
      </c>
      <c r="G43" s="14">
        <v>18</v>
      </c>
      <c r="H43" s="14">
        <v>38</v>
      </c>
      <c r="I43" s="29">
        <v>45555</v>
      </c>
      <c r="J43" s="31">
        <v>0</v>
      </c>
      <c r="K43" s="31">
        <v>0</v>
      </c>
      <c r="L43" s="31">
        <f t="shared" si="0"/>
        <v>0</v>
      </c>
    </row>
    <row r="44" spans="2:12" s="14" customFormat="1" ht="13" x14ac:dyDescent="0.3">
      <c r="B44" s="14">
        <v>39</v>
      </c>
      <c r="C44" s="29">
        <v>44866</v>
      </c>
      <c r="D44" s="14">
        <v>1</v>
      </c>
      <c r="E44" s="14" t="s">
        <v>129</v>
      </c>
      <c r="F44" s="14">
        <v>21</v>
      </c>
      <c r="G44" s="14">
        <v>18</v>
      </c>
      <c r="H44" s="14">
        <v>39</v>
      </c>
      <c r="I44" s="29">
        <v>45586</v>
      </c>
      <c r="J44" s="31">
        <v>0</v>
      </c>
      <c r="K44" s="31">
        <v>0</v>
      </c>
      <c r="L44" s="31">
        <f t="shared" si="0"/>
        <v>0</v>
      </c>
    </row>
    <row r="45" spans="2:12" s="14" customFormat="1" ht="13" x14ac:dyDescent="0.3">
      <c r="B45" s="14">
        <v>40</v>
      </c>
      <c r="C45" s="29">
        <v>44866</v>
      </c>
      <c r="D45" s="14">
        <v>0</v>
      </c>
      <c r="E45" s="14" t="s">
        <v>130</v>
      </c>
      <c r="F45" s="14">
        <v>21</v>
      </c>
      <c r="G45" s="14">
        <v>19</v>
      </c>
      <c r="H45" s="14">
        <v>40</v>
      </c>
      <c r="I45" s="29">
        <v>45586</v>
      </c>
      <c r="J45" s="31">
        <v>0</v>
      </c>
      <c r="K45" s="31">
        <v>0</v>
      </c>
      <c r="L45" s="31">
        <f t="shared" si="0"/>
        <v>0</v>
      </c>
    </row>
    <row r="46" spans="2:12" s="14" customFormat="1" ht="13" x14ac:dyDescent="0.3">
      <c r="B46" s="14">
        <v>41</v>
      </c>
      <c r="C46" s="29">
        <v>44866</v>
      </c>
      <c r="D46" s="14">
        <v>1</v>
      </c>
      <c r="E46" s="14" t="s">
        <v>129</v>
      </c>
      <c r="F46" s="14">
        <v>22</v>
      </c>
      <c r="G46" s="14">
        <v>19</v>
      </c>
      <c r="H46" s="14">
        <v>41</v>
      </c>
      <c r="I46" s="29">
        <v>45586</v>
      </c>
      <c r="J46" s="31">
        <v>0</v>
      </c>
      <c r="K46" s="31">
        <v>0</v>
      </c>
      <c r="L46" s="31">
        <f t="shared" si="0"/>
        <v>0</v>
      </c>
    </row>
    <row r="47" spans="2:12" s="14" customFormat="1" ht="13" x14ac:dyDescent="0.3">
      <c r="B47" s="14">
        <v>42</v>
      </c>
      <c r="C47" s="29">
        <v>44866</v>
      </c>
      <c r="D47" s="14">
        <v>0</v>
      </c>
      <c r="E47" s="14" t="s">
        <v>130</v>
      </c>
      <c r="F47" s="14">
        <v>22</v>
      </c>
      <c r="G47" s="14">
        <v>20</v>
      </c>
      <c r="H47" s="14">
        <v>42</v>
      </c>
      <c r="I47" s="29">
        <v>45586</v>
      </c>
      <c r="J47" s="31">
        <v>0</v>
      </c>
      <c r="K47" s="31">
        <v>0</v>
      </c>
      <c r="L47" s="31">
        <f t="shared" si="0"/>
        <v>0</v>
      </c>
    </row>
    <row r="48" spans="2:12" s="14" customFormat="1" ht="13" x14ac:dyDescent="0.3">
      <c r="B48" s="14">
        <v>43</v>
      </c>
      <c r="C48" s="29">
        <v>44866</v>
      </c>
      <c r="D48" s="14">
        <v>0</v>
      </c>
      <c r="E48" s="14" t="s">
        <v>130</v>
      </c>
      <c r="F48" s="14">
        <v>22</v>
      </c>
      <c r="G48" s="14">
        <v>21</v>
      </c>
      <c r="H48" s="14">
        <v>43</v>
      </c>
      <c r="I48" s="29">
        <v>45586</v>
      </c>
      <c r="J48" s="31">
        <v>0</v>
      </c>
      <c r="K48" s="31">
        <v>0</v>
      </c>
      <c r="L48" s="31">
        <f t="shared" si="0"/>
        <v>0</v>
      </c>
    </row>
    <row r="49" spans="2:12" s="14" customFormat="1" ht="13" x14ac:dyDescent="0.3">
      <c r="B49" s="14">
        <v>44</v>
      </c>
      <c r="C49" s="29">
        <v>44896</v>
      </c>
      <c r="D49" s="14">
        <v>0</v>
      </c>
      <c r="E49" s="14" t="s">
        <v>130</v>
      </c>
      <c r="F49" s="14">
        <v>22</v>
      </c>
      <c r="G49" s="14">
        <v>22</v>
      </c>
      <c r="H49" s="14">
        <v>44</v>
      </c>
      <c r="I49" s="29">
        <v>45616</v>
      </c>
      <c r="J49" s="31">
        <v>1</v>
      </c>
      <c r="K49" s="31">
        <v>0</v>
      </c>
      <c r="L49" s="31">
        <f t="shared" si="0"/>
        <v>1</v>
      </c>
    </row>
    <row r="50" spans="2:12" s="14" customFormat="1" ht="13" x14ac:dyDescent="0.3">
      <c r="B50" s="14">
        <v>45</v>
      </c>
      <c r="C50" s="29">
        <v>44896</v>
      </c>
      <c r="D50" s="14">
        <v>0</v>
      </c>
      <c r="E50" s="14" t="s">
        <v>130</v>
      </c>
      <c r="F50" s="14">
        <v>22</v>
      </c>
      <c r="G50" s="14">
        <v>23</v>
      </c>
      <c r="H50" s="14">
        <v>45</v>
      </c>
      <c r="I50" s="29">
        <v>45616</v>
      </c>
      <c r="J50" s="31">
        <v>1</v>
      </c>
      <c r="K50" s="31">
        <v>0</v>
      </c>
      <c r="L50" s="31">
        <f t="shared" si="0"/>
        <v>1</v>
      </c>
    </row>
    <row r="51" spans="2:12" s="14" customFormat="1" ht="13" x14ac:dyDescent="0.3">
      <c r="B51" s="14">
        <v>46</v>
      </c>
      <c r="C51" s="29">
        <v>44896</v>
      </c>
      <c r="D51" s="14">
        <v>1</v>
      </c>
      <c r="E51" s="14" t="s">
        <v>129</v>
      </c>
      <c r="F51" s="14">
        <v>23</v>
      </c>
      <c r="G51" s="14">
        <v>23</v>
      </c>
      <c r="H51" s="14">
        <v>46</v>
      </c>
      <c r="I51" s="29">
        <v>45616</v>
      </c>
      <c r="J51" s="31">
        <v>1</v>
      </c>
      <c r="K51" s="31">
        <v>0</v>
      </c>
      <c r="L51" s="31">
        <f t="shared" si="0"/>
        <v>1</v>
      </c>
    </row>
    <row r="52" spans="2:12" s="14" customFormat="1" ht="13" x14ac:dyDescent="0.3">
      <c r="B52" s="14">
        <v>47</v>
      </c>
      <c r="C52" s="29">
        <v>44896</v>
      </c>
      <c r="D52" s="14">
        <v>0</v>
      </c>
      <c r="E52" s="14" t="s">
        <v>130</v>
      </c>
      <c r="F52" s="14">
        <v>23</v>
      </c>
      <c r="G52" s="14">
        <v>24</v>
      </c>
      <c r="H52" s="14">
        <v>47</v>
      </c>
      <c r="I52" s="29">
        <v>45616</v>
      </c>
      <c r="J52" s="31">
        <v>1</v>
      </c>
      <c r="K52" s="31">
        <v>0</v>
      </c>
      <c r="L52" s="31">
        <f t="shared" si="0"/>
        <v>1</v>
      </c>
    </row>
    <row r="53" spans="2:12" s="14" customFormat="1" ht="13" x14ac:dyDescent="0.3">
      <c r="B53" s="14">
        <v>48</v>
      </c>
      <c r="C53" s="29">
        <v>44896</v>
      </c>
      <c r="D53" s="14">
        <v>0</v>
      </c>
      <c r="E53" s="14" t="s">
        <v>130</v>
      </c>
      <c r="F53" s="14">
        <v>23</v>
      </c>
      <c r="G53" s="14">
        <v>25</v>
      </c>
      <c r="H53" s="14">
        <v>48</v>
      </c>
      <c r="I53" s="29">
        <v>45616</v>
      </c>
      <c r="J53" s="31">
        <v>1</v>
      </c>
      <c r="K53" s="31">
        <v>0</v>
      </c>
      <c r="L53" s="31">
        <f t="shared" si="0"/>
        <v>1</v>
      </c>
    </row>
    <row r="54" spans="2:12" s="14" customFormat="1" ht="13" x14ac:dyDescent="0.3">
      <c r="B54" s="14">
        <v>49</v>
      </c>
      <c r="C54" s="29">
        <v>44927</v>
      </c>
      <c r="D54" s="14">
        <v>1</v>
      </c>
      <c r="E54" s="14" t="s">
        <v>129</v>
      </c>
      <c r="F54" s="14">
        <v>24</v>
      </c>
      <c r="G54" s="14">
        <v>25</v>
      </c>
      <c r="H54" s="14">
        <v>49</v>
      </c>
      <c r="I54" s="29">
        <v>45647</v>
      </c>
      <c r="J54" s="31">
        <v>1</v>
      </c>
      <c r="K54" s="31">
        <v>1</v>
      </c>
      <c r="L54" s="31">
        <f>+K54+J54</f>
        <v>2</v>
      </c>
    </row>
    <row r="55" spans="2:12" s="14" customFormat="1" ht="13" x14ac:dyDescent="0.3">
      <c r="B55" s="14">
        <v>50</v>
      </c>
      <c r="C55" s="29">
        <v>44927</v>
      </c>
      <c r="D55" s="14">
        <v>0</v>
      </c>
      <c r="E55" s="14" t="s">
        <v>130</v>
      </c>
      <c r="F55" s="14">
        <v>24</v>
      </c>
      <c r="G55" s="14">
        <v>26</v>
      </c>
      <c r="H55" s="14">
        <v>50</v>
      </c>
      <c r="I55" s="29">
        <v>45647</v>
      </c>
      <c r="J55" s="31">
        <v>1</v>
      </c>
      <c r="K55" s="31">
        <v>1</v>
      </c>
      <c r="L55" s="31">
        <f t="shared" ref="L55:L59" si="1">+K55+J55</f>
        <v>2</v>
      </c>
    </row>
    <row r="56" spans="2:12" s="14" customFormat="1" ht="13" x14ac:dyDescent="0.3">
      <c r="B56" s="14">
        <v>51</v>
      </c>
      <c r="C56" s="29">
        <v>44927</v>
      </c>
      <c r="D56" s="14">
        <v>0</v>
      </c>
      <c r="E56" s="14" t="s">
        <v>130</v>
      </c>
      <c r="F56" s="14">
        <v>24</v>
      </c>
      <c r="G56" s="14">
        <v>27</v>
      </c>
      <c r="H56" s="14">
        <v>51</v>
      </c>
      <c r="I56" s="29">
        <v>45647</v>
      </c>
      <c r="J56" s="31">
        <v>1</v>
      </c>
      <c r="K56" s="31">
        <v>1</v>
      </c>
      <c r="L56" s="31">
        <f t="shared" si="1"/>
        <v>2</v>
      </c>
    </row>
    <row r="57" spans="2:12" s="14" customFormat="1" ht="13" x14ac:dyDescent="0.3">
      <c r="B57" s="14">
        <v>52</v>
      </c>
      <c r="C57" s="29">
        <v>44927</v>
      </c>
      <c r="D57" s="14">
        <v>0</v>
      </c>
      <c r="E57" s="14" t="s">
        <v>130</v>
      </c>
      <c r="F57" s="14">
        <v>24</v>
      </c>
      <c r="G57" s="14">
        <v>28</v>
      </c>
      <c r="H57" s="14">
        <v>52</v>
      </c>
      <c r="I57" s="29">
        <v>45647</v>
      </c>
      <c r="J57" s="31">
        <v>1</v>
      </c>
      <c r="K57" s="31">
        <v>1</v>
      </c>
      <c r="L57" s="31">
        <f t="shared" si="1"/>
        <v>2</v>
      </c>
    </row>
    <row r="58" spans="2:12" s="14" customFormat="1" ht="13" x14ac:dyDescent="0.3">
      <c r="B58" s="14">
        <v>53</v>
      </c>
      <c r="C58" s="29">
        <v>44927</v>
      </c>
      <c r="D58" s="14">
        <v>0</v>
      </c>
      <c r="E58" s="14" t="s">
        <v>130</v>
      </c>
      <c r="F58" s="14">
        <v>24</v>
      </c>
      <c r="G58" s="14">
        <v>29</v>
      </c>
      <c r="H58" s="14">
        <v>53</v>
      </c>
      <c r="I58" s="29">
        <v>45647</v>
      </c>
      <c r="J58" s="31">
        <v>1</v>
      </c>
      <c r="K58" s="31">
        <v>1</v>
      </c>
      <c r="L58" s="31">
        <f t="shared" si="1"/>
        <v>2</v>
      </c>
    </row>
    <row r="59" spans="2:12" x14ac:dyDescent="0.25">
      <c r="B59">
        <v>54</v>
      </c>
      <c r="C59" s="28">
        <v>44958</v>
      </c>
      <c r="D59">
        <v>0</v>
      </c>
      <c r="E59" t="s">
        <v>130</v>
      </c>
      <c r="F59">
        <v>24</v>
      </c>
      <c r="G59">
        <v>30</v>
      </c>
      <c r="H59">
        <v>54</v>
      </c>
      <c r="I59" s="28">
        <v>45678</v>
      </c>
      <c r="J59" s="8">
        <v>1</v>
      </c>
      <c r="K59" s="8">
        <v>2</v>
      </c>
      <c r="L59" s="34">
        <f t="shared" si="1"/>
        <v>3</v>
      </c>
    </row>
    <row r="60" spans="2:12" x14ac:dyDescent="0.25">
      <c r="B60">
        <v>55</v>
      </c>
      <c r="C60" s="28">
        <v>44958</v>
      </c>
      <c r="D60">
        <v>1</v>
      </c>
      <c r="E60" t="s">
        <v>129</v>
      </c>
      <c r="F60">
        <v>25</v>
      </c>
      <c r="G60">
        <v>30</v>
      </c>
      <c r="H60">
        <v>55</v>
      </c>
      <c r="I60" s="28">
        <v>45678</v>
      </c>
      <c r="J60" s="8">
        <v>1</v>
      </c>
      <c r="K60" s="8">
        <v>2</v>
      </c>
      <c r="L60" s="34">
        <f t="shared" ref="L60:L64" si="2">+K60+J60</f>
        <v>3</v>
      </c>
    </row>
    <row r="61" spans="2:12" x14ac:dyDescent="0.25">
      <c r="B61">
        <v>56</v>
      </c>
      <c r="C61" s="28">
        <v>44958</v>
      </c>
      <c r="D61">
        <v>0</v>
      </c>
      <c r="E61" t="s">
        <v>130</v>
      </c>
      <c r="F61">
        <v>25</v>
      </c>
      <c r="G61">
        <v>31</v>
      </c>
      <c r="H61">
        <v>56</v>
      </c>
      <c r="I61" s="28">
        <v>45678</v>
      </c>
      <c r="J61" s="8">
        <v>1</v>
      </c>
      <c r="K61" s="8">
        <v>2</v>
      </c>
      <c r="L61" s="34">
        <f t="shared" si="2"/>
        <v>3</v>
      </c>
    </row>
    <row r="62" spans="2:12" x14ac:dyDescent="0.25">
      <c r="B62">
        <v>57</v>
      </c>
      <c r="C62" s="28">
        <v>44958</v>
      </c>
      <c r="D62">
        <v>0</v>
      </c>
      <c r="E62" t="s">
        <v>130</v>
      </c>
      <c r="F62">
        <v>25</v>
      </c>
      <c r="G62">
        <v>32</v>
      </c>
      <c r="H62">
        <v>57</v>
      </c>
      <c r="I62" s="28">
        <v>45678</v>
      </c>
      <c r="J62" s="8">
        <v>1</v>
      </c>
      <c r="K62" s="8">
        <v>2</v>
      </c>
      <c r="L62" s="34">
        <f t="shared" si="2"/>
        <v>3</v>
      </c>
    </row>
    <row r="63" spans="2:12" x14ac:dyDescent="0.25">
      <c r="B63">
        <v>58</v>
      </c>
      <c r="C63" s="28">
        <v>44958</v>
      </c>
      <c r="D63">
        <v>1</v>
      </c>
      <c r="E63" t="s">
        <v>129</v>
      </c>
      <c r="F63">
        <v>26</v>
      </c>
      <c r="G63">
        <v>32</v>
      </c>
      <c r="H63">
        <v>58</v>
      </c>
      <c r="I63" s="28">
        <v>45678</v>
      </c>
      <c r="J63" s="8">
        <v>1</v>
      </c>
      <c r="K63" s="8">
        <v>2</v>
      </c>
      <c r="L63" s="34">
        <f t="shared" si="2"/>
        <v>3</v>
      </c>
    </row>
    <row r="64" spans="2:12" x14ac:dyDescent="0.25">
      <c r="B64">
        <v>59</v>
      </c>
      <c r="C64" s="28">
        <v>44986</v>
      </c>
      <c r="D64">
        <v>1</v>
      </c>
      <c r="E64" t="s">
        <v>129</v>
      </c>
      <c r="F64">
        <v>27</v>
      </c>
      <c r="G64">
        <v>32</v>
      </c>
      <c r="H64">
        <v>59</v>
      </c>
      <c r="I64" s="28">
        <v>45706</v>
      </c>
      <c r="J64" s="8">
        <v>2</v>
      </c>
      <c r="K64" s="8">
        <v>2</v>
      </c>
      <c r="L64" s="34">
        <f t="shared" si="2"/>
        <v>4</v>
      </c>
    </row>
    <row r="65" spans="2:12" x14ac:dyDescent="0.25">
      <c r="B65">
        <v>60</v>
      </c>
      <c r="C65" s="28">
        <v>44986</v>
      </c>
      <c r="D65">
        <v>0</v>
      </c>
      <c r="E65" t="s">
        <v>130</v>
      </c>
      <c r="F65">
        <v>27</v>
      </c>
      <c r="G65">
        <v>33</v>
      </c>
      <c r="H65">
        <v>60</v>
      </c>
      <c r="I65" s="28">
        <v>45706</v>
      </c>
      <c r="J65" s="8">
        <v>2</v>
      </c>
      <c r="K65" s="8">
        <v>2</v>
      </c>
      <c r="L65" s="34">
        <f t="shared" ref="L65:L69" si="3">+K65+J65</f>
        <v>4</v>
      </c>
    </row>
    <row r="66" spans="2:12" x14ac:dyDescent="0.25">
      <c r="B66">
        <v>61</v>
      </c>
      <c r="C66" s="28">
        <v>44986</v>
      </c>
      <c r="D66">
        <v>0</v>
      </c>
      <c r="E66" t="s">
        <v>130</v>
      </c>
      <c r="F66">
        <v>27</v>
      </c>
      <c r="G66">
        <v>34</v>
      </c>
      <c r="H66">
        <v>61</v>
      </c>
      <c r="I66" s="28">
        <v>45706</v>
      </c>
      <c r="J66" s="8">
        <v>2</v>
      </c>
      <c r="K66" s="8">
        <v>2</v>
      </c>
      <c r="L66" s="34">
        <f t="shared" si="3"/>
        <v>4</v>
      </c>
    </row>
    <row r="67" spans="2:12" x14ac:dyDescent="0.25">
      <c r="B67">
        <v>62</v>
      </c>
      <c r="C67" s="28">
        <v>44986</v>
      </c>
      <c r="D67">
        <v>0</v>
      </c>
      <c r="E67" t="s">
        <v>130</v>
      </c>
      <c r="F67">
        <v>27</v>
      </c>
      <c r="G67">
        <v>35</v>
      </c>
      <c r="H67">
        <v>62</v>
      </c>
      <c r="I67" s="28">
        <v>45706</v>
      </c>
      <c r="J67" s="8">
        <v>2</v>
      </c>
      <c r="K67" s="8">
        <v>2</v>
      </c>
      <c r="L67" s="34">
        <f t="shared" si="3"/>
        <v>4</v>
      </c>
    </row>
    <row r="68" spans="2:12" x14ac:dyDescent="0.25">
      <c r="B68">
        <v>63</v>
      </c>
      <c r="C68" s="28">
        <v>44986</v>
      </c>
      <c r="D68">
        <v>0</v>
      </c>
      <c r="E68" t="s">
        <v>130</v>
      </c>
      <c r="F68">
        <v>27</v>
      </c>
      <c r="G68">
        <v>36</v>
      </c>
      <c r="H68">
        <v>63</v>
      </c>
      <c r="I68" s="28">
        <v>45706</v>
      </c>
      <c r="J68" s="8">
        <v>2</v>
      </c>
      <c r="K68" s="8">
        <v>2</v>
      </c>
      <c r="L68" s="34">
        <f t="shared" si="3"/>
        <v>4</v>
      </c>
    </row>
    <row r="69" spans="2:12" x14ac:dyDescent="0.25">
      <c r="B69">
        <v>64</v>
      </c>
      <c r="C69" s="28">
        <v>45017</v>
      </c>
      <c r="D69">
        <v>1</v>
      </c>
      <c r="E69" t="s">
        <v>129</v>
      </c>
      <c r="F69">
        <v>28</v>
      </c>
      <c r="G69">
        <v>36</v>
      </c>
      <c r="H69">
        <v>64</v>
      </c>
      <c r="I69" s="28">
        <v>45737</v>
      </c>
      <c r="J69" s="8">
        <v>2</v>
      </c>
      <c r="K69" s="8">
        <v>3</v>
      </c>
      <c r="L69" s="34">
        <f t="shared" si="3"/>
        <v>5</v>
      </c>
    </row>
    <row r="70" spans="2:12" x14ac:dyDescent="0.25">
      <c r="B70">
        <v>65</v>
      </c>
      <c r="C70" s="28">
        <v>45017</v>
      </c>
      <c r="D70">
        <v>1</v>
      </c>
      <c r="E70" t="s">
        <v>129</v>
      </c>
      <c r="F70">
        <v>29</v>
      </c>
      <c r="G70">
        <v>36</v>
      </c>
      <c r="H70">
        <v>65</v>
      </c>
      <c r="I70" s="28">
        <v>45737</v>
      </c>
      <c r="J70" s="8">
        <v>2</v>
      </c>
      <c r="K70" s="8">
        <v>3</v>
      </c>
      <c r="L70" s="34">
        <f t="shared" ref="L70:L74" si="4">+K70+J70</f>
        <v>5</v>
      </c>
    </row>
    <row r="71" spans="2:12" x14ac:dyDescent="0.25">
      <c r="B71">
        <v>66</v>
      </c>
      <c r="C71" s="28">
        <v>45017</v>
      </c>
      <c r="D71">
        <v>1</v>
      </c>
      <c r="E71" t="s">
        <v>129</v>
      </c>
      <c r="F71">
        <v>30</v>
      </c>
      <c r="G71">
        <v>36</v>
      </c>
      <c r="H71">
        <v>66</v>
      </c>
      <c r="I71" s="28">
        <v>45737</v>
      </c>
      <c r="J71" s="8">
        <v>2</v>
      </c>
      <c r="K71" s="8">
        <v>3</v>
      </c>
      <c r="L71" s="34">
        <f t="shared" si="4"/>
        <v>5</v>
      </c>
    </row>
    <row r="72" spans="2:12" x14ac:dyDescent="0.25">
      <c r="B72">
        <v>67</v>
      </c>
      <c r="C72" s="28">
        <v>45017</v>
      </c>
      <c r="D72">
        <v>0</v>
      </c>
      <c r="E72" t="s">
        <v>130</v>
      </c>
      <c r="F72">
        <v>30</v>
      </c>
      <c r="G72">
        <v>37</v>
      </c>
      <c r="H72">
        <v>67</v>
      </c>
      <c r="I72" s="28">
        <v>45737</v>
      </c>
      <c r="J72" s="8">
        <v>2</v>
      </c>
      <c r="K72" s="8">
        <v>3</v>
      </c>
      <c r="L72" s="34">
        <f t="shared" si="4"/>
        <v>5</v>
      </c>
    </row>
    <row r="73" spans="2:12" x14ac:dyDescent="0.25">
      <c r="B73">
        <v>68</v>
      </c>
      <c r="C73" s="28">
        <v>45017</v>
      </c>
      <c r="D73">
        <v>0</v>
      </c>
      <c r="E73" t="s">
        <v>130</v>
      </c>
      <c r="F73">
        <v>30</v>
      </c>
      <c r="G73">
        <v>38</v>
      </c>
      <c r="H73">
        <v>68</v>
      </c>
      <c r="I73" s="28">
        <v>45737</v>
      </c>
      <c r="J73" s="8">
        <v>2</v>
      </c>
      <c r="K73" s="8">
        <v>3</v>
      </c>
      <c r="L73" s="34">
        <f t="shared" si="4"/>
        <v>5</v>
      </c>
    </row>
    <row r="74" spans="2:12" x14ac:dyDescent="0.25">
      <c r="B74">
        <v>69</v>
      </c>
      <c r="C74" s="28">
        <v>45047</v>
      </c>
      <c r="D74">
        <v>0</v>
      </c>
      <c r="E74" t="s">
        <v>130</v>
      </c>
      <c r="F74">
        <v>30</v>
      </c>
      <c r="G74">
        <v>39</v>
      </c>
      <c r="H74">
        <v>69</v>
      </c>
      <c r="I74" s="28">
        <v>45767</v>
      </c>
      <c r="J74" s="8">
        <v>2</v>
      </c>
      <c r="K74" s="8">
        <v>4</v>
      </c>
      <c r="L74" s="34">
        <f t="shared" si="4"/>
        <v>6</v>
      </c>
    </row>
    <row r="75" spans="2:12" x14ac:dyDescent="0.25">
      <c r="B75">
        <v>70</v>
      </c>
      <c r="C75" s="28">
        <v>45047</v>
      </c>
      <c r="D75">
        <v>0</v>
      </c>
      <c r="E75" t="s">
        <v>130</v>
      </c>
      <c r="F75">
        <v>30</v>
      </c>
      <c r="G75">
        <v>40</v>
      </c>
      <c r="H75">
        <v>70</v>
      </c>
      <c r="I75" s="28">
        <v>45767</v>
      </c>
      <c r="J75" s="8">
        <v>2</v>
      </c>
      <c r="K75" s="8">
        <v>4</v>
      </c>
      <c r="L75" s="34">
        <f t="shared" ref="L75:L79" si="5">+K75+J75</f>
        <v>6</v>
      </c>
    </row>
    <row r="76" spans="2:12" x14ac:dyDescent="0.25">
      <c r="B76">
        <v>71</v>
      </c>
      <c r="C76" s="28">
        <v>45047</v>
      </c>
      <c r="D76">
        <v>0</v>
      </c>
      <c r="E76" t="s">
        <v>130</v>
      </c>
      <c r="F76">
        <v>30</v>
      </c>
      <c r="G76">
        <v>41</v>
      </c>
      <c r="H76">
        <v>71</v>
      </c>
      <c r="I76" s="28">
        <v>45767</v>
      </c>
      <c r="J76" s="8">
        <v>2</v>
      </c>
      <c r="K76" s="8">
        <v>4</v>
      </c>
      <c r="L76" s="34">
        <f t="shared" si="5"/>
        <v>6</v>
      </c>
    </row>
    <row r="77" spans="2:12" x14ac:dyDescent="0.25">
      <c r="B77">
        <v>72</v>
      </c>
      <c r="C77" s="28">
        <v>45047</v>
      </c>
      <c r="D77">
        <v>0</v>
      </c>
      <c r="E77" t="s">
        <v>130</v>
      </c>
      <c r="F77">
        <v>30</v>
      </c>
      <c r="G77">
        <v>42</v>
      </c>
      <c r="H77">
        <v>72</v>
      </c>
      <c r="I77" s="28">
        <v>45767</v>
      </c>
      <c r="J77" s="8">
        <v>2</v>
      </c>
      <c r="K77" s="8">
        <v>4</v>
      </c>
      <c r="L77" s="34">
        <f t="shared" si="5"/>
        <v>6</v>
      </c>
    </row>
    <row r="78" spans="2:12" x14ac:dyDescent="0.25">
      <c r="B78">
        <v>73</v>
      </c>
      <c r="C78" s="28">
        <v>45047</v>
      </c>
      <c r="D78">
        <v>0</v>
      </c>
      <c r="E78" t="s">
        <v>130</v>
      </c>
      <c r="F78">
        <v>30</v>
      </c>
      <c r="G78">
        <v>43</v>
      </c>
      <c r="H78">
        <v>73</v>
      </c>
      <c r="I78" s="28">
        <v>45767</v>
      </c>
      <c r="J78" s="8">
        <v>2</v>
      </c>
      <c r="K78" s="8">
        <v>4</v>
      </c>
      <c r="L78" s="34">
        <f t="shared" si="5"/>
        <v>6</v>
      </c>
    </row>
    <row r="79" spans="2:12" x14ac:dyDescent="0.25">
      <c r="B79">
        <v>74</v>
      </c>
      <c r="C79" s="28">
        <v>45078</v>
      </c>
      <c r="D79">
        <v>0</v>
      </c>
      <c r="E79" t="s">
        <v>130</v>
      </c>
      <c r="F79">
        <v>30</v>
      </c>
      <c r="G79">
        <v>44</v>
      </c>
      <c r="H79">
        <v>74</v>
      </c>
      <c r="I79" s="28">
        <v>45798</v>
      </c>
      <c r="J79" s="8">
        <v>3</v>
      </c>
      <c r="K79" s="8">
        <v>4</v>
      </c>
      <c r="L79" s="34">
        <f t="shared" si="5"/>
        <v>7</v>
      </c>
    </row>
    <row r="80" spans="2:12" x14ac:dyDescent="0.25">
      <c r="B80">
        <v>75</v>
      </c>
      <c r="C80" s="28">
        <v>45078</v>
      </c>
      <c r="D80">
        <v>1</v>
      </c>
      <c r="E80" t="s">
        <v>129</v>
      </c>
      <c r="F80">
        <v>31</v>
      </c>
      <c r="G80">
        <v>44</v>
      </c>
      <c r="H80">
        <v>75</v>
      </c>
      <c r="I80" s="28">
        <v>45798</v>
      </c>
      <c r="J80" s="8">
        <v>3</v>
      </c>
      <c r="K80" s="8">
        <v>4</v>
      </c>
      <c r="L80" s="34">
        <f t="shared" ref="L80:L84" si="6">+K80+J80</f>
        <v>7</v>
      </c>
    </row>
    <row r="81" spans="2:12" x14ac:dyDescent="0.25">
      <c r="B81">
        <v>76</v>
      </c>
      <c r="C81" s="28">
        <v>45078</v>
      </c>
      <c r="D81">
        <v>1</v>
      </c>
      <c r="E81" t="s">
        <v>129</v>
      </c>
      <c r="F81">
        <v>32</v>
      </c>
      <c r="G81">
        <v>44</v>
      </c>
      <c r="H81">
        <v>76</v>
      </c>
      <c r="I81" s="28">
        <v>45798</v>
      </c>
      <c r="J81" s="8">
        <v>3</v>
      </c>
      <c r="K81" s="8">
        <v>4</v>
      </c>
      <c r="L81" s="34">
        <f t="shared" si="6"/>
        <v>7</v>
      </c>
    </row>
    <row r="82" spans="2:12" x14ac:dyDescent="0.25">
      <c r="B82">
        <v>77</v>
      </c>
      <c r="C82" s="28">
        <v>45078</v>
      </c>
      <c r="D82">
        <v>0</v>
      </c>
      <c r="E82" t="s">
        <v>130</v>
      </c>
      <c r="F82">
        <v>32</v>
      </c>
      <c r="G82">
        <v>45</v>
      </c>
      <c r="H82">
        <v>77</v>
      </c>
      <c r="I82" s="28">
        <v>45798</v>
      </c>
      <c r="J82" s="8">
        <v>3</v>
      </c>
      <c r="K82" s="8">
        <v>4</v>
      </c>
      <c r="L82" s="34">
        <f t="shared" si="6"/>
        <v>7</v>
      </c>
    </row>
    <row r="83" spans="2:12" x14ac:dyDescent="0.25">
      <c r="B83">
        <v>78</v>
      </c>
      <c r="C83" s="28">
        <v>45078</v>
      </c>
      <c r="D83">
        <v>1</v>
      </c>
      <c r="E83" t="s">
        <v>129</v>
      </c>
      <c r="F83">
        <v>33</v>
      </c>
      <c r="G83">
        <v>45</v>
      </c>
      <c r="H83">
        <v>78</v>
      </c>
      <c r="I83" s="28">
        <v>45798</v>
      </c>
      <c r="J83" s="8">
        <v>3</v>
      </c>
      <c r="K83" s="8">
        <v>4</v>
      </c>
      <c r="L83" s="34">
        <f t="shared" si="6"/>
        <v>7</v>
      </c>
    </row>
    <row r="84" spans="2:12" x14ac:dyDescent="0.25">
      <c r="B84">
        <v>79</v>
      </c>
      <c r="C84" s="28">
        <v>45108</v>
      </c>
      <c r="D84">
        <v>0</v>
      </c>
      <c r="E84" t="s">
        <v>130</v>
      </c>
      <c r="F84">
        <v>33</v>
      </c>
      <c r="G84">
        <v>46</v>
      </c>
      <c r="H84">
        <v>79</v>
      </c>
      <c r="I84" s="28">
        <v>45828</v>
      </c>
      <c r="J84" s="8">
        <v>4</v>
      </c>
      <c r="K84" s="8">
        <v>4</v>
      </c>
      <c r="L84" s="34">
        <f t="shared" si="6"/>
        <v>8</v>
      </c>
    </row>
    <row r="85" spans="2:12" x14ac:dyDescent="0.25">
      <c r="B85">
        <v>80</v>
      </c>
      <c r="C85" s="28">
        <v>45108</v>
      </c>
      <c r="D85">
        <v>1</v>
      </c>
      <c r="E85" t="s">
        <v>129</v>
      </c>
      <c r="F85">
        <v>34</v>
      </c>
      <c r="G85">
        <v>46</v>
      </c>
      <c r="H85">
        <v>80</v>
      </c>
      <c r="I85" s="28">
        <v>45828</v>
      </c>
      <c r="J85" s="8">
        <v>4</v>
      </c>
      <c r="K85" s="8">
        <v>4</v>
      </c>
      <c r="L85" s="34">
        <f t="shared" ref="L85:L89" si="7">+K85+J85</f>
        <v>8</v>
      </c>
    </row>
    <row r="86" spans="2:12" x14ac:dyDescent="0.25">
      <c r="B86">
        <v>81</v>
      </c>
      <c r="C86" s="28">
        <v>45108</v>
      </c>
      <c r="D86">
        <v>1</v>
      </c>
      <c r="E86" t="s">
        <v>129</v>
      </c>
      <c r="F86">
        <v>35</v>
      </c>
      <c r="G86">
        <v>46</v>
      </c>
      <c r="H86">
        <v>81</v>
      </c>
      <c r="I86" s="28">
        <v>45828</v>
      </c>
      <c r="J86" s="8">
        <v>4</v>
      </c>
      <c r="K86" s="8">
        <v>4</v>
      </c>
      <c r="L86" s="34">
        <f t="shared" si="7"/>
        <v>8</v>
      </c>
    </row>
    <row r="87" spans="2:12" x14ac:dyDescent="0.25">
      <c r="B87">
        <v>82</v>
      </c>
      <c r="C87" s="28">
        <v>45108</v>
      </c>
      <c r="D87">
        <v>1</v>
      </c>
      <c r="E87" t="s">
        <v>129</v>
      </c>
      <c r="F87">
        <v>36</v>
      </c>
      <c r="G87">
        <v>46</v>
      </c>
      <c r="H87">
        <v>82</v>
      </c>
      <c r="I87" s="28">
        <v>45828</v>
      </c>
      <c r="J87" s="8">
        <v>4</v>
      </c>
      <c r="K87" s="8">
        <v>4</v>
      </c>
      <c r="L87" s="34">
        <f t="shared" si="7"/>
        <v>8</v>
      </c>
    </row>
    <row r="88" spans="2:12" x14ac:dyDescent="0.25">
      <c r="B88">
        <v>83</v>
      </c>
      <c r="C88" s="28">
        <v>45108</v>
      </c>
      <c r="D88">
        <v>1</v>
      </c>
      <c r="E88" t="s">
        <v>129</v>
      </c>
      <c r="F88">
        <v>37</v>
      </c>
      <c r="G88">
        <v>46</v>
      </c>
      <c r="H88">
        <v>83</v>
      </c>
      <c r="I88" s="28">
        <v>45828</v>
      </c>
      <c r="J88" s="8">
        <v>4</v>
      </c>
      <c r="K88" s="8">
        <v>4</v>
      </c>
      <c r="L88" s="34">
        <f t="shared" si="7"/>
        <v>8</v>
      </c>
    </row>
    <row r="89" spans="2:12" x14ac:dyDescent="0.25">
      <c r="B89">
        <v>84</v>
      </c>
      <c r="C89" s="28">
        <v>45139</v>
      </c>
      <c r="D89">
        <v>0</v>
      </c>
      <c r="E89" t="s">
        <v>130</v>
      </c>
      <c r="F89">
        <v>37</v>
      </c>
      <c r="G89">
        <v>47</v>
      </c>
      <c r="H89">
        <v>84</v>
      </c>
      <c r="I89" s="28">
        <v>45859</v>
      </c>
      <c r="J89" s="8">
        <v>4</v>
      </c>
      <c r="K89" s="8">
        <v>5</v>
      </c>
      <c r="L89" s="34">
        <f t="shared" si="7"/>
        <v>9</v>
      </c>
    </row>
    <row r="90" spans="2:12" x14ac:dyDescent="0.25">
      <c r="B90">
        <v>85</v>
      </c>
      <c r="C90" s="28">
        <v>45139</v>
      </c>
      <c r="D90">
        <v>0</v>
      </c>
      <c r="E90" t="s">
        <v>130</v>
      </c>
      <c r="F90">
        <v>37</v>
      </c>
      <c r="G90">
        <v>48</v>
      </c>
      <c r="H90">
        <v>85</v>
      </c>
      <c r="I90" s="28">
        <v>45859</v>
      </c>
      <c r="J90" s="8">
        <v>4</v>
      </c>
      <c r="K90" s="8">
        <v>5</v>
      </c>
      <c r="L90" s="34">
        <f t="shared" ref="L90:L94" si="8">+K90+J90</f>
        <v>9</v>
      </c>
    </row>
    <row r="91" spans="2:12" x14ac:dyDescent="0.25">
      <c r="B91">
        <v>86</v>
      </c>
      <c r="C91" s="28">
        <v>45139</v>
      </c>
      <c r="D91">
        <v>0</v>
      </c>
      <c r="E91" t="s">
        <v>130</v>
      </c>
      <c r="F91">
        <v>37</v>
      </c>
      <c r="G91">
        <v>49</v>
      </c>
      <c r="H91">
        <v>86</v>
      </c>
      <c r="I91" s="28">
        <v>45859</v>
      </c>
      <c r="J91" s="8">
        <v>4</v>
      </c>
      <c r="K91" s="8">
        <v>5</v>
      </c>
      <c r="L91" s="34">
        <f t="shared" si="8"/>
        <v>9</v>
      </c>
    </row>
    <row r="92" spans="2:12" x14ac:dyDescent="0.25">
      <c r="B92">
        <v>87</v>
      </c>
      <c r="C92" s="28">
        <v>45139</v>
      </c>
      <c r="D92">
        <v>0</v>
      </c>
      <c r="E92" t="s">
        <v>130</v>
      </c>
      <c r="F92">
        <v>37</v>
      </c>
      <c r="G92">
        <v>50</v>
      </c>
      <c r="H92">
        <v>87</v>
      </c>
      <c r="I92" s="28">
        <v>45859</v>
      </c>
      <c r="J92" s="8">
        <v>4</v>
      </c>
      <c r="K92" s="8">
        <v>5</v>
      </c>
      <c r="L92" s="34">
        <f t="shared" si="8"/>
        <v>9</v>
      </c>
    </row>
    <row r="93" spans="2:12" x14ac:dyDescent="0.25">
      <c r="B93">
        <v>88</v>
      </c>
      <c r="C93" s="28">
        <v>45139</v>
      </c>
      <c r="D93">
        <v>1</v>
      </c>
      <c r="E93" t="s">
        <v>129</v>
      </c>
      <c r="F93">
        <v>38</v>
      </c>
      <c r="G93">
        <v>50</v>
      </c>
      <c r="H93">
        <v>88</v>
      </c>
      <c r="I93" s="28">
        <v>45859</v>
      </c>
      <c r="J93" s="8">
        <v>4</v>
      </c>
      <c r="K93" s="8">
        <v>5</v>
      </c>
      <c r="L93" s="34">
        <f t="shared" si="8"/>
        <v>9</v>
      </c>
    </row>
    <row r="94" spans="2:12" x14ac:dyDescent="0.25">
      <c r="B94">
        <v>89</v>
      </c>
      <c r="C94" s="28">
        <v>45170</v>
      </c>
      <c r="D94">
        <v>1</v>
      </c>
      <c r="E94" t="s">
        <v>129</v>
      </c>
      <c r="F94">
        <v>39</v>
      </c>
      <c r="G94">
        <v>50</v>
      </c>
      <c r="H94">
        <v>89</v>
      </c>
      <c r="I94" s="28">
        <v>45890</v>
      </c>
      <c r="J94" s="8">
        <v>5</v>
      </c>
      <c r="K94" s="8">
        <v>5</v>
      </c>
      <c r="L94" s="34">
        <f t="shared" si="8"/>
        <v>10</v>
      </c>
    </row>
    <row r="95" spans="2:12" x14ac:dyDescent="0.25">
      <c r="B95">
        <v>90</v>
      </c>
      <c r="C95" s="28">
        <v>45170</v>
      </c>
      <c r="D95">
        <v>0</v>
      </c>
      <c r="E95" t="s">
        <v>130</v>
      </c>
      <c r="F95">
        <v>39</v>
      </c>
      <c r="G95">
        <v>51</v>
      </c>
      <c r="H95">
        <v>90</v>
      </c>
      <c r="I95" s="28">
        <v>45890</v>
      </c>
      <c r="J95" s="8">
        <v>5</v>
      </c>
      <c r="K95" s="8">
        <v>5</v>
      </c>
      <c r="L95" s="34">
        <f t="shared" ref="L95:L99" si="9">+K95+J95</f>
        <v>10</v>
      </c>
    </row>
    <row r="96" spans="2:12" x14ac:dyDescent="0.25">
      <c r="B96">
        <v>91</v>
      </c>
      <c r="C96" s="28">
        <v>45170</v>
      </c>
      <c r="D96">
        <v>1</v>
      </c>
      <c r="E96" t="s">
        <v>129</v>
      </c>
      <c r="F96">
        <v>40</v>
      </c>
      <c r="G96">
        <v>51</v>
      </c>
      <c r="H96">
        <v>91</v>
      </c>
      <c r="I96" s="28">
        <v>45890</v>
      </c>
      <c r="J96" s="8">
        <v>5</v>
      </c>
      <c r="K96" s="8">
        <v>5</v>
      </c>
      <c r="L96" s="34">
        <f t="shared" si="9"/>
        <v>10</v>
      </c>
    </row>
    <row r="97" spans="2:12" x14ac:dyDescent="0.25">
      <c r="B97">
        <v>92</v>
      </c>
      <c r="C97" s="28">
        <v>45170</v>
      </c>
      <c r="D97">
        <v>0</v>
      </c>
      <c r="E97" t="s">
        <v>130</v>
      </c>
      <c r="F97">
        <v>40</v>
      </c>
      <c r="G97">
        <v>52</v>
      </c>
      <c r="H97">
        <v>92</v>
      </c>
      <c r="I97" s="28">
        <v>45890</v>
      </c>
      <c r="J97" s="8">
        <v>5</v>
      </c>
      <c r="K97" s="8">
        <v>5</v>
      </c>
      <c r="L97" s="34">
        <f t="shared" si="9"/>
        <v>10</v>
      </c>
    </row>
    <row r="98" spans="2:12" x14ac:dyDescent="0.25">
      <c r="B98">
        <v>93</v>
      </c>
      <c r="C98" s="28">
        <v>45170</v>
      </c>
      <c r="D98">
        <v>1</v>
      </c>
      <c r="E98" t="s">
        <v>129</v>
      </c>
      <c r="F98">
        <v>41</v>
      </c>
      <c r="G98">
        <v>52</v>
      </c>
      <c r="H98">
        <v>93</v>
      </c>
      <c r="I98" s="28">
        <v>45890</v>
      </c>
      <c r="J98" s="8">
        <v>5</v>
      </c>
      <c r="K98" s="8">
        <v>5</v>
      </c>
      <c r="L98" s="34">
        <f t="shared" si="9"/>
        <v>10</v>
      </c>
    </row>
    <row r="99" spans="2:12" x14ac:dyDescent="0.25">
      <c r="B99">
        <v>94</v>
      </c>
      <c r="C99" s="28">
        <v>45200</v>
      </c>
      <c r="D99">
        <v>1</v>
      </c>
      <c r="E99" t="s">
        <v>129</v>
      </c>
      <c r="F99">
        <v>42</v>
      </c>
      <c r="G99">
        <v>52</v>
      </c>
      <c r="H99">
        <v>94</v>
      </c>
      <c r="I99" s="28">
        <v>45920</v>
      </c>
      <c r="J99" s="8">
        <v>6</v>
      </c>
      <c r="K99" s="8">
        <v>5</v>
      </c>
      <c r="L99" s="34">
        <f t="shared" si="9"/>
        <v>11</v>
      </c>
    </row>
    <row r="100" spans="2:12" x14ac:dyDescent="0.25">
      <c r="B100">
        <v>95</v>
      </c>
      <c r="C100" s="28">
        <v>45200</v>
      </c>
      <c r="D100">
        <v>1</v>
      </c>
      <c r="E100" t="s">
        <v>129</v>
      </c>
      <c r="F100">
        <v>43</v>
      </c>
      <c r="G100">
        <v>52</v>
      </c>
      <c r="H100">
        <v>95</v>
      </c>
      <c r="I100" s="28">
        <v>45920</v>
      </c>
      <c r="J100" s="8">
        <v>6</v>
      </c>
      <c r="K100" s="8">
        <v>5</v>
      </c>
      <c r="L100" s="34">
        <f t="shared" ref="L100:L104" si="10">+K100+J100</f>
        <v>11</v>
      </c>
    </row>
    <row r="101" spans="2:12" x14ac:dyDescent="0.25">
      <c r="B101">
        <v>96</v>
      </c>
      <c r="C101" s="28">
        <v>45200</v>
      </c>
      <c r="D101">
        <v>0</v>
      </c>
      <c r="E101" t="s">
        <v>130</v>
      </c>
      <c r="F101">
        <v>43</v>
      </c>
      <c r="G101">
        <v>53</v>
      </c>
      <c r="H101">
        <v>96</v>
      </c>
      <c r="I101" s="28">
        <v>45920</v>
      </c>
      <c r="J101" s="8">
        <v>6</v>
      </c>
      <c r="K101" s="8">
        <v>5</v>
      </c>
      <c r="L101" s="34">
        <f t="shared" si="10"/>
        <v>11</v>
      </c>
    </row>
    <row r="102" spans="2:12" x14ac:dyDescent="0.25">
      <c r="B102">
        <v>97</v>
      </c>
      <c r="C102" s="28">
        <v>45200</v>
      </c>
      <c r="D102">
        <v>0</v>
      </c>
      <c r="E102" t="s">
        <v>130</v>
      </c>
      <c r="F102">
        <v>43</v>
      </c>
      <c r="G102">
        <v>54</v>
      </c>
      <c r="H102">
        <v>97</v>
      </c>
      <c r="I102" s="28">
        <v>45920</v>
      </c>
      <c r="J102" s="8">
        <v>6</v>
      </c>
      <c r="K102" s="8">
        <v>5</v>
      </c>
      <c r="L102" s="34">
        <f t="shared" si="10"/>
        <v>11</v>
      </c>
    </row>
    <row r="103" spans="2:12" x14ac:dyDescent="0.25">
      <c r="B103">
        <v>98</v>
      </c>
      <c r="C103" s="28">
        <v>45200</v>
      </c>
      <c r="D103">
        <v>0</v>
      </c>
      <c r="E103" t="s">
        <v>130</v>
      </c>
      <c r="F103">
        <v>43</v>
      </c>
      <c r="G103">
        <v>55</v>
      </c>
      <c r="H103">
        <v>98</v>
      </c>
      <c r="I103" s="28">
        <v>45920</v>
      </c>
      <c r="J103" s="8">
        <v>6</v>
      </c>
      <c r="K103" s="8">
        <v>5</v>
      </c>
      <c r="L103" s="34">
        <f t="shared" si="10"/>
        <v>11</v>
      </c>
    </row>
    <row r="104" spans="2:12" x14ac:dyDescent="0.25">
      <c r="B104">
        <v>99</v>
      </c>
      <c r="C104" s="28">
        <v>45231</v>
      </c>
      <c r="D104">
        <v>0</v>
      </c>
      <c r="E104" t="s">
        <v>130</v>
      </c>
      <c r="F104">
        <v>43</v>
      </c>
      <c r="G104">
        <v>56</v>
      </c>
      <c r="H104">
        <v>99</v>
      </c>
      <c r="I104" s="28">
        <v>45951</v>
      </c>
      <c r="J104" s="8">
        <v>7</v>
      </c>
      <c r="K104" s="8">
        <v>5</v>
      </c>
      <c r="L104" s="34">
        <f t="shared" si="10"/>
        <v>12</v>
      </c>
    </row>
    <row r="105" spans="2:12" x14ac:dyDescent="0.25">
      <c r="B105">
        <v>100</v>
      </c>
      <c r="C105" s="28">
        <v>45231</v>
      </c>
      <c r="D105">
        <v>0</v>
      </c>
      <c r="E105" t="s">
        <v>130</v>
      </c>
      <c r="F105">
        <v>43</v>
      </c>
      <c r="G105">
        <v>57</v>
      </c>
      <c r="H105">
        <v>100</v>
      </c>
      <c r="I105" s="28">
        <v>45951</v>
      </c>
      <c r="J105" s="8">
        <v>7</v>
      </c>
      <c r="K105" s="8">
        <v>5</v>
      </c>
      <c r="L105" s="34">
        <f t="shared" ref="L105:L109" si="11">+K105+J105</f>
        <v>12</v>
      </c>
    </row>
    <row r="106" spans="2:12" x14ac:dyDescent="0.25">
      <c r="B106">
        <v>101</v>
      </c>
      <c r="C106" s="28">
        <v>45231</v>
      </c>
      <c r="D106">
        <v>0</v>
      </c>
      <c r="E106" t="s">
        <v>130</v>
      </c>
      <c r="F106">
        <v>43</v>
      </c>
      <c r="G106">
        <v>58</v>
      </c>
      <c r="H106">
        <v>101</v>
      </c>
      <c r="I106" s="28">
        <v>45951</v>
      </c>
      <c r="J106" s="8">
        <v>7</v>
      </c>
      <c r="K106" s="8">
        <v>5</v>
      </c>
      <c r="L106" s="34">
        <f t="shared" si="11"/>
        <v>12</v>
      </c>
    </row>
    <row r="107" spans="2:12" x14ac:dyDescent="0.25">
      <c r="B107">
        <v>102</v>
      </c>
      <c r="C107" s="28">
        <v>45231</v>
      </c>
      <c r="D107">
        <v>1</v>
      </c>
      <c r="E107" t="s">
        <v>129</v>
      </c>
      <c r="F107">
        <v>44</v>
      </c>
      <c r="G107">
        <v>58</v>
      </c>
      <c r="H107">
        <v>102</v>
      </c>
      <c r="I107" s="28">
        <v>45951</v>
      </c>
      <c r="J107" s="8">
        <v>7</v>
      </c>
      <c r="K107" s="8">
        <v>5</v>
      </c>
      <c r="L107" s="34">
        <f t="shared" si="11"/>
        <v>12</v>
      </c>
    </row>
    <row r="108" spans="2:12" x14ac:dyDescent="0.25">
      <c r="B108">
        <v>103</v>
      </c>
      <c r="C108" s="28">
        <v>45231</v>
      </c>
      <c r="D108">
        <v>0</v>
      </c>
      <c r="E108" t="s">
        <v>130</v>
      </c>
      <c r="F108">
        <v>44</v>
      </c>
      <c r="G108">
        <v>59</v>
      </c>
      <c r="H108">
        <v>103</v>
      </c>
      <c r="I108" s="28">
        <v>45951</v>
      </c>
      <c r="J108" s="8">
        <v>7</v>
      </c>
      <c r="K108" s="8">
        <v>5</v>
      </c>
      <c r="L108" s="34">
        <f t="shared" si="11"/>
        <v>12</v>
      </c>
    </row>
    <row r="109" spans="2:12" x14ac:dyDescent="0.25">
      <c r="B109">
        <v>104</v>
      </c>
      <c r="C109" s="28">
        <v>45261</v>
      </c>
      <c r="D109">
        <v>1</v>
      </c>
      <c r="E109" t="s">
        <v>129</v>
      </c>
      <c r="F109">
        <v>45</v>
      </c>
      <c r="G109">
        <v>59</v>
      </c>
      <c r="H109">
        <v>104</v>
      </c>
      <c r="I109" s="28">
        <v>45981</v>
      </c>
      <c r="J109" s="8">
        <v>8</v>
      </c>
      <c r="K109" s="8">
        <v>5</v>
      </c>
      <c r="L109" s="34">
        <f t="shared" si="11"/>
        <v>13</v>
      </c>
    </row>
    <row r="110" spans="2:12" x14ac:dyDescent="0.25">
      <c r="B110">
        <v>105</v>
      </c>
      <c r="C110" s="28">
        <v>45261</v>
      </c>
      <c r="D110">
        <v>1</v>
      </c>
      <c r="E110" t="s">
        <v>129</v>
      </c>
      <c r="F110">
        <v>46</v>
      </c>
      <c r="G110">
        <v>59</v>
      </c>
      <c r="H110">
        <v>105</v>
      </c>
      <c r="I110" s="28">
        <v>45981</v>
      </c>
      <c r="J110" s="8">
        <v>8</v>
      </c>
      <c r="K110" s="8">
        <v>5</v>
      </c>
      <c r="L110" s="34">
        <f t="shared" ref="L110:L114" si="12">+K110+J110</f>
        <v>13</v>
      </c>
    </row>
    <row r="111" spans="2:12" x14ac:dyDescent="0.25">
      <c r="B111">
        <v>106</v>
      </c>
      <c r="C111" s="28">
        <v>45261</v>
      </c>
      <c r="D111">
        <v>0</v>
      </c>
      <c r="E111" t="s">
        <v>130</v>
      </c>
      <c r="F111">
        <v>46</v>
      </c>
      <c r="G111">
        <v>60</v>
      </c>
      <c r="H111">
        <v>106</v>
      </c>
      <c r="I111" s="28">
        <v>45981</v>
      </c>
      <c r="J111" s="8">
        <v>8</v>
      </c>
      <c r="K111" s="8">
        <v>5</v>
      </c>
      <c r="L111" s="34">
        <f t="shared" si="12"/>
        <v>13</v>
      </c>
    </row>
    <row r="112" spans="2:12" x14ac:dyDescent="0.25">
      <c r="B112">
        <v>107</v>
      </c>
      <c r="C112" s="28">
        <v>45261</v>
      </c>
      <c r="D112">
        <v>1</v>
      </c>
      <c r="E112" t="s">
        <v>129</v>
      </c>
      <c r="F112">
        <v>47</v>
      </c>
      <c r="G112">
        <v>60</v>
      </c>
      <c r="H112">
        <v>107</v>
      </c>
      <c r="I112" s="28">
        <v>45981</v>
      </c>
      <c r="J112" s="8">
        <v>8</v>
      </c>
      <c r="K112" s="8">
        <v>5</v>
      </c>
      <c r="L112" s="34">
        <f t="shared" si="12"/>
        <v>13</v>
      </c>
    </row>
    <row r="113" spans="2:12" x14ac:dyDescent="0.25">
      <c r="B113">
        <v>108</v>
      </c>
      <c r="C113" s="28">
        <v>45261</v>
      </c>
      <c r="D113">
        <v>0</v>
      </c>
      <c r="E113" t="s">
        <v>130</v>
      </c>
      <c r="F113">
        <v>47</v>
      </c>
      <c r="G113">
        <v>61</v>
      </c>
      <c r="H113">
        <v>108</v>
      </c>
      <c r="I113" s="28">
        <v>45981</v>
      </c>
      <c r="J113" s="8">
        <v>8</v>
      </c>
      <c r="K113" s="8">
        <v>5</v>
      </c>
      <c r="L113" s="34">
        <f t="shared" si="12"/>
        <v>13</v>
      </c>
    </row>
    <row r="114" spans="2:12" x14ac:dyDescent="0.25">
      <c r="B114">
        <v>109</v>
      </c>
      <c r="C114" s="28">
        <v>45292</v>
      </c>
      <c r="D114">
        <v>0</v>
      </c>
      <c r="E114" t="s">
        <v>130</v>
      </c>
      <c r="F114">
        <v>47</v>
      </c>
      <c r="G114">
        <v>62</v>
      </c>
      <c r="H114">
        <v>109</v>
      </c>
      <c r="I114" s="28">
        <v>46012</v>
      </c>
      <c r="J114" s="8">
        <v>9</v>
      </c>
      <c r="K114" s="8">
        <v>5</v>
      </c>
      <c r="L114" s="34">
        <f t="shared" si="12"/>
        <v>14</v>
      </c>
    </row>
    <row r="115" spans="2:12" x14ac:dyDescent="0.25">
      <c r="B115">
        <v>110</v>
      </c>
      <c r="C115" s="28">
        <v>45292</v>
      </c>
      <c r="D115">
        <v>0</v>
      </c>
      <c r="E115" t="s">
        <v>130</v>
      </c>
      <c r="F115">
        <v>47</v>
      </c>
      <c r="G115">
        <v>63</v>
      </c>
      <c r="H115">
        <v>110</v>
      </c>
      <c r="I115" s="28">
        <v>46012</v>
      </c>
      <c r="J115" s="8">
        <v>9</v>
      </c>
      <c r="K115" s="8">
        <v>5</v>
      </c>
      <c r="L115" s="34">
        <f t="shared" ref="L115:L120" si="13">+K115+J115</f>
        <v>14</v>
      </c>
    </row>
    <row r="116" spans="2:12" x14ac:dyDescent="0.25">
      <c r="B116">
        <v>111</v>
      </c>
      <c r="C116" s="28">
        <v>45292</v>
      </c>
      <c r="D116">
        <v>1</v>
      </c>
      <c r="E116" t="s">
        <v>129</v>
      </c>
      <c r="F116">
        <v>48</v>
      </c>
      <c r="G116">
        <v>63</v>
      </c>
      <c r="H116">
        <v>111</v>
      </c>
      <c r="I116" s="28">
        <v>46012</v>
      </c>
      <c r="J116" s="8">
        <v>9</v>
      </c>
      <c r="K116" s="8">
        <v>5</v>
      </c>
      <c r="L116" s="34">
        <f t="shared" si="13"/>
        <v>14</v>
      </c>
    </row>
    <row r="117" spans="2:12" x14ac:dyDescent="0.25">
      <c r="B117">
        <v>112</v>
      </c>
      <c r="C117" s="28">
        <v>45292</v>
      </c>
      <c r="D117">
        <v>1</v>
      </c>
      <c r="E117" t="s">
        <v>129</v>
      </c>
      <c r="F117">
        <v>49</v>
      </c>
      <c r="G117">
        <v>63</v>
      </c>
      <c r="H117">
        <v>112</v>
      </c>
      <c r="I117" s="28">
        <v>46012</v>
      </c>
      <c r="J117" s="8">
        <v>9</v>
      </c>
      <c r="K117" s="8">
        <v>5</v>
      </c>
      <c r="L117" s="34">
        <f t="shared" si="13"/>
        <v>14</v>
      </c>
    </row>
    <row r="118" spans="2:12" x14ac:dyDescent="0.25">
      <c r="B118">
        <v>113</v>
      </c>
      <c r="C118" s="28">
        <v>45292</v>
      </c>
      <c r="D118">
        <v>0</v>
      </c>
      <c r="E118" t="s">
        <v>130</v>
      </c>
      <c r="F118">
        <v>49</v>
      </c>
      <c r="G118">
        <v>64</v>
      </c>
      <c r="H118">
        <v>113</v>
      </c>
      <c r="I118" s="28">
        <v>46012</v>
      </c>
      <c r="J118" s="8">
        <v>9</v>
      </c>
      <c r="K118" s="8">
        <v>5</v>
      </c>
      <c r="L118" s="34">
        <f t="shared" si="13"/>
        <v>14</v>
      </c>
    </row>
    <row r="119" spans="2:12" x14ac:dyDescent="0.25">
      <c r="B119">
        <v>114</v>
      </c>
      <c r="C119" s="28">
        <v>45323</v>
      </c>
      <c r="D119">
        <v>1</v>
      </c>
      <c r="E119" t="s">
        <v>129</v>
      </c>
      <c r="F119">
        <v>50</v>
      </c>
      <c r="G119">
        <v>64</v>
      </c>
      <c r="H119">
        <v>114</v>
      </c>
      <c r="I119" s="28">
        <v>46043</v>
      </c>
      <c r="J119" s="8">
        <v>9</v>
      </c>
      <c r="K119" s="8">
        <v>6</v>
      </c>
      <c r="L119" s="34">
        <f t="shared" si="13"/>
        <v>15</v>
      </c>
    </row>
    <row r="120" spans="2:12" x14ac:dyDescent="0.25">
      <c r="B120">
        <v>115</v>
      </c>
      <c r="C120" s="28">
        <v>45323</v>
      </c>
      <c r="D120">
        <v>1</v>
      </c>
      <c r="E120" t="s">
        <v>129</v>
      </c>
      <c r="F120">
        <v>51</v>
      </c>
      <c r="G120">
        <v>64</v>
      </c>
      <c r="H120">
        <v>115</v>
      </c>
      <c r="I120" s="28">
        <v>46043</v>
      </c>
      <c r="J120" s="8">
        <v>9</v>
      </c>
      <c r="K120" s="8">
        <v>7</v>
      </c>
      <c r="L120" s="8">
        <f t="shared" si="13"/>
        <v>16</v>
      </c>
    </row>
    <row r="121" spans="2:12" x14ac:dyDescent="0.25">
      <c r="B121">
        <v>116</v>
      </c>
      <c r="C121" s="28">
        <v>45323</v>
      </c>
      <c r="D121">
        <v>0</v>
      </c>
      <c r="E121" t="s">
        <v>130</v>
      </c>
      <c r="F121">
        <v>51</v>
      </c>
      <c r="G121">
        <v>65</v>
      </c>
      <c r="H121">
        <v>116</v>
      </c>
      <c r="I121" s="28">
        <v>46043</v>
      </c>
      <c r="J121" s="8">
        <v>9</v>
      </c>
      <c r="K121" s="8">
        <v>7</v>
      </c>
      <c r="L121" s="8">
        <f t="shared" ref="L121:L125" si="14">+K121+J121</f>
        <v>16</v>
      </c>
    </row>
    <row r="122" spans="2:12" x14ac:dyDescent="0.25">
      <c r="B122">
        <v>117</v>
      </c>
      <c r="C122" s="28">
        <v>45323</v>
      </c>
      <c r="D122">
        <v>0</v>
      </c>
      <c r="E122" t="s">
        <v>130</v>
      </c>
      <c r="F122">
        <v>51</v>
      </c>
      <c r="G122">
        <v>66</v>
      </c>
      <c r="H122">
        <v>117</v>
      </c>
      <c r="I122" s="28">
        <v>46043</v>
      </c>
      <c r="J122" s="8">
        <v>9</v>
      </c>
      <c r="K122" s="8">
        <v>7</v>
      </c>
      <c r="L122" s="8">
        <f t="shared" si="14"/>
        <v>16</v>
      </c>
    </row>
    <row r="123" spans="2:12" x14ac:dyDescent="0.25">
      <c r="B123">
        <v>118</v>
      </c>
      <c r="C123" s="28">
        <v>45323</v>
      </c>
      <c r="D123">
        <v>0</v>
      </c>
      <c r="E123" t="s">
        <v>130</v>
      </c>
      <c r="F123">
        <v>51</v>
      </c>
      <c r="G123">
        <v>67</v>
      </c>
      <c r="H123">
        <v>118</v>
      </c>
      <c r="I123" s="28">
        <v>46043</v>
      </c>
      <c r="J123" s="8">
        <v>9</v>
      </c>
      <c r="K123" s="8">
        <v>7</v>
      </c>
      <c r="L123" s="8">
        <f t="shared" si="14"/>
        <v>16</v>
      </c>
    </row>
    <row r="124" spans="2:12" x14ac:dyDescent="0.25">
      <c r="B124">
        <v>119</v>
      </c>
      <c r="C124" s="28">
        <v>45352</v>
      </c>
      <c r="D124">
        <v>1</v>
      </c>
      <c r="E124" t="s">
        <v>129</v>
      </c>
      <c r="F124">
        <v>52</v>
      </c>
      <c r="G124">
        <v>67</v>
      </c>
      <c r="H124">
        <v>119</v>
      </c>
      <c r="I124" s="28">
        <v>46072</v>
      </c>
      <c r="J124" s="8">
        <v>10</v>
      </c>
      <c r="K124" s="8">
        <v>7</v>
      </c>
      <c r="L124" s="8">
        <f t="shared" si="14"/>
        <v>17</v>
      </c>
    </row>
    <row r="125" spans="2:12" x14ac:dyDescent="0.25">
      <c r="B125">
        <v>120</v>
      </c>
      <c r="C125" s="28">
        <v>45352</v>
      </c>
      <c r="D125">
        <v>1</v>
      </c>
      <c r="E125" t="s">
        <v>129</v>
      </c>
      <c r="F125">
        <v>53</v>
      </c>
      <c r="G125">
        <v>67</v>
      </c>
      <c r="H125">
        <v>120</v>
      </c>
      <c r="I125" s="28">
        <v>46072</v>
      </c>
      <c r="J125" s="8">
        <v>10</v>
      </c>
      <c r="K125" s="8">
        <v>8</v>
      </c>
      <c r="L125" s="8">
        <f t="shared" si="14"/>
        <v>18</v>
      </c>
    </row>
    <row r="126" spans="2:12" x14ac:dyDescent="0.25">
      <c r="B126">
        <v>121</v>
      </c>
      <c r="C126" s="28">
        <v>45352</v>
      </c>
      <c r="D126">
        <v>1</v>
      </c>
      <c r="E126" t="s">
        <v>129</v>
      </c>
      <c r="F126">
        <v>54</v>
      </c>
      <c r="G126">
        <v>67</v>
      </c>
      <c r="H126">
        <v>121</v>
      </c>
      <c r="I126" s="28">
        <v>46072</v>
      </c>
      <c r="J126" s="8">
        <v>10</v>
      </c>
      <c r="K126" s="8">
        <v>8</v>
      </c>
      <c r="L126" s="8">
        <f t="shared" ref="L126:L131" si="15">+K126+J126</f>
        <v>18</v>
      </c>
    </row>
    <row r="127" spans="2:12" x14ac:dyDescent="0.25">
      <c r="B127">
        <v>122</v>
      </c>
      <c r="C127" s="28">
        <v>45352</v>
      </c>
      <c r="D127">
        <v>0</v>
      </c>
      <c r="E127" t="s">
        <v>130</v>
      </c>
      <c r="F127">
        <v>54</v>
      </c>
      <c r="G127">
        <v>68</v>
      </c>
      <c r="H127">
        <v>122</v>
      </c>
      <c r="I127" s="28">
        <v>46072</v>
      </c>
      <c r="J127" s="8">
        <v>10</v>
      </c>
      <c r="K127" s="8">
        <v>8</v>
      </c>
      <c r="L127" s="8">
        <f t="shared" si="15"/>
        <v>18</v>
      </c>
    </row>
    <row r="128" spans="2:12" x14ac:dyDescent="0.25">
      <c r="B128">
        <v>123</v>
      </c>
      <c r="C128" s="28">
        <v>45352</v>
      </c>
      <c r="D128">
        <v>1</v>
      </c>
      <c r="E128" t="s">
        <v>129</v>
      </c>
      <c r="F128">
        <v>55</v>
      </c>
      <c r="G128">
        <v>68</v>
      </c>
      <c r="H128">
        <v>123</v>
      </c>
      <c r="I128" s="28">
        <v>46072</v>
      </c>
      <c r="J128" s="8">
        <v>10</v>
      </c>
      <c r="K128" s="8">
        <v>8</v>
      </c>
      <c r="L128" s="8">
        <f t="shared" si="15"/>
        <v>18</v>
      </c>
    </row>
    <row r="129" spans="2:12" x14ac:dyDescent="0.25">
      <c r="B129">
        <v>124</v>
      </c>
      <c r="C129" s="28">
        <v>45383</v>
      </c>
      <c r="D129">
        <v>0</v>
      </c>
      <c r="E129" t="s">
        <v>130</v>
      </c>
      <c r="F129">
        <v>55</v>
      </c>
      <c r="G129">
        <v>69</v>
      </c>
      <c r="H129">
        <v>124</v>
      </c>
      <c r="I129" s="28">
        <v>46103</v>
      </c>
      <c r="J129" s="8">
        <v>10</v>
      </c>
      <c r="K129" s="8">
        <v>9</v>
      </c>
      <c r="L129" s="8">
        <f t="shared" si="15"/>
        <v>19</v>
      </c>
    </row>
    <row r="130" spans="2:12" x14ac:dyDescent="0.25">
      <c r="B130">
        <v>125</v>
      </c>
      <c r="C130" s="28">
        <v>45383</v>
      </c>
      <c r="D130">
        <v>0</v>
      </c>
      <c r="E130" t="s">
        <v>130</v>
      </c>
      <c r="F130">
        <v>55</v>
      </c>
      <c r="G130">
        <v>70</v>
      </c>
      <c r="H130">
        <v>125</v>
      </c>
      <c r="I130" s="28">
        <v>46103</v>
      </c>
      <c r="J130" s="8">
        <v>11</v>
      </c>
      <c r="K130" s="8">
        <v>9</v>
      </c>
      <c r="L130" s="8">
        <f t="shared" si="15"/>
        <v>20</v>
      </c>
    </row>
    <row r="131" spans="2:12" x14ac:dyDescent="0.25">
      <c r="B131">
        <v>126</v>
      </c>
      <c r="C131" s="28">
        <v>45383</v>
      </c>
      <c r="D131">
        <v>0</v>
      </c>
      <c r="E131" t="s">
        <v>130</v>
      </c>
      <c r="F131">
        <v>55</v>
      </c>
      <c r="G131">
        <v>71</v>
      </c>
      <c r="H131">
        <v>126</v>
      </c>
      <c r="I131" s="28">
        <v>46103</v>
      </c>
      <c r="J131" s="8">
        <v>11</v>
      </c>
      <c r="K131" s="8">
        <v>10</v>
      </c>
      <c r="L131" s="8">
        <f t="shared" si="15"/>
        <v>21</v>
      </c>
    </row>
    <row r="132" spans="2:12" x14ac:dyDescent="0.25">
      <c r="B132">
        <v>127</v>
      </c>
      <c r="C132" s="28">
        <v>45383</v>
      </c>
      <c r="D132">
        <v>1</v>
      </c>
      <c r="E132" t="s">
        <v>129</v>
      </c>
      <c r="F132">
        <v>56</v>
      </c>
      <c r="G132">
        <v>71</v>
      </c>
      <c r="H132">
        <v>127</v>
      </c>
      <c r="I132" s="28">
        <v>46103</v>
      </c>
      <c r="J132" s="8">
        <v>11</v>
      </c>
      <c r="K132" s="8">
        <v>10</v>
      </c>
      <c r="L132" s="8">
        <f t="shared" ref="L132:L141" si="16">+K132+J132</f>
        <v>21</v>
      </c>
    </row>
    <row r="133" spans="2:12" x14ac:dyDescent="0.25">
      <c r="C133" s="28">
        <v>45413</v>
      </c>
      <c r="J133" s="8">
        <f>+J132+2</f>
        <v>13</v>
      </c>
      <c r="K133" s="8">
        <f>+K132+1</f>
        <v>11</v>
      </c>
      <c r="L133" s="8">
        <f t="shared" si="16"/>
        <v>24</v>
      </c>
    </row>
    <row r="134" spans="2:12" x14ac:dyDescent="0.25">
      <c r="C134" s="28">
        <f>C133+31</f>
        <v>45444</v>
      </c>
      <c r="J134" s="8">
        <f>+J133+1</f>
        <v>14</v>
      </c>
      <c r="K134" s="8">
        <f>+K133+2</f>
        <v>13</v>
      </c>
      <c r="L134" s="8">
        <f t="shared" si="16"/>
        <v>27</v>
      </c>
    </row>
    <row r="135" spans="2:12" x14ac:dyDescent="0.25">
      <c r="C135" s="28">
        <f>C134+31</f>
        <v>45475</v>
      </c>
      <c r="J135" s="8">
        <f>+J134+2</f>
        <v>16</v>
      </c>
      <c r="K135" s="8">
        <f>+K134+1</f>
        <v>14</v>
      </c>
      <c r="L135" s="8">
        <f t="shared" si="16"/>
        <v>30</v>
      </c>
    </row>
    <row r="136" spans="2:12" x14ac:dyDescent="0.25">
      <c r="C136" s="28">
        <f>C135+31</f>
        <v>45506</v>
      </c>
      <c r="J136" s="8">
        <f>+J135+1</f>
        <v>17</v>
      </c>
      <c r="K136" s="8">
        <f>+K135+3</f>
        <v>17</v>
      </c>
      <c r="L136" s="8">
        <f t="shared" si="16"/>
        <v>34</v>
      </c>
    </row>
    <row r="137" spans="2:12" x14ac:dyDescent="0.25">
      <c r="C137" s="28">
        <f>C136+31</f>
        <v>45537</v>
      </c>
      <c r="J137" s="8">
        <f>+J136+3</f>
        <v>20</v>
      </c>
      <c r="K137" s="8">
        <f>+K136+1</f>
        <v>18</v>
      </c>
      <c r="L137" s="8">
        <f t="shared" si="16"/>
        <v>38</v>
      </c>
    </row>
    <row r="138" spans="2:12" x14ac:dyDescent="0.25">
      <c r="C138" s="28">
        <f>C137+31</f>
        <v>45568</v>
      </c>
      <c r="J138" s="8">
        <f>+J137+2</f>
        <v>22</v>
      </c>
      <c r="K138" s="8">
        <f>+K137+3</f>
        <v>21</v>
      </c>
      <c r="L138" s="8">
        <f t="shared" si="16"/>
        <v>43</v>
      </c>
    </row>
    <row r="139" spans="2:12" x14ac:dyDescent="0.25">
      <c r="C139" s="28">
        <f>C138+31</f>
        <v>45599</v>
      </c>
      <c r="J139" s="8">
        <f>+J138+1</f>
        <v>23</v>
      </c>
      <c r="K139" s="8">
        <f>+K138+4</f>
        <v>25</v>
      </c>
      <c r="L139" s="8">
        <f t="shared" si="16"/>
        <v>48</v>
      </c>
    </row>
    <row r="140" spans="2:12" x14ac:dyDescent="0.25">
      <c r="C140" s="28">
        <f>C139+31</f>
        <v>45630</v>
      </c>
      <c r="J140" s="8">
        <f>+J139+1</f>
        <v>24</v>
      </c>
      <c r="K140" s="8">
        <f>+K139+4</f>
        <v>29</v>
      </c>
      <c r="L140" s="8">
        <f t="shared" si="16"/>
        <v>53</v>
      </c>
    </row>
    <row r="141" spans="2:12" x14ac:dyDescent="0.25">
      <c r="C141" s="28">
        <f>C140+31</f>
        <v>45661</v>
      </c>
      <c r="L141" s="8">
        <f t="shared" si="16"/>
        <v>0</v>
      </c>
    </row>
    <row r="142" spans="2:12" x14ac:dyDescent="0.25">
      <c r="C142" s="28">
        <f>C141+31</f>
        <v>45692</v>
      </c>
    </row>
    <row r="143" spans="2:12" x14ac:dyDescent="0.25">
      <c r="C143" s="28">
        <f>C142+31</f>
        <v>45723</v>
      </c>
    </row>
    <row r="144" spans="2:12" x14ac:dyDescent="0.25">
      <c r="C144" s="28">
        <f>C143+31</f>
        <v>45754</v>
      </c>
    </row>
    <row r="145" spans="3:3" x14ac:dyDescent="0.25">
      <c r="C145" s="28">
        <f>C144+31</f>
        <v>45785</v>
      </c>
    </row>
    <row r="146" spans="3:3" x14ac:dyDescent="0.25">
      <c r="C146" s="28">
        <f>C145+31</f>
        <v>45816</v>
      </c>
    </row>
    <row r="147" spans="3:3" x14ac:dyDescent="0.25">
      <c r="C147" s="28">
        <f>C146+31</f>
        <v>45847</v>
      </c>
    </row>
    <row r="148" spans="3:3" x14ac:dyDescent="0.25">
      <c r="C148" s="28">
        <f>C147+31</f>
        <v>45878</v>
      </c>
    </row>
    <row r="149" spans="3:3" x14ac:dyDescent="0.25">
      <c r="C149" s="28">
        <f>C148+31</f>
        <v>45909</v>
      </c>
    </row>
    <row r="150" spans="3:3" x14ac:dyDescent="0.25">
      <c r="C150" s="28">
        <f>C149+31</f>
        <v>45940</v>
      </c>
    </row>
    <row r="151" spans="3:3" x14ac:dyDescent="0.25">
      <c r="C151" s="28">
        <f>C150+31</f>
        <v>45971</v>
      </c>
    </row>
    <row r="152" spans="3:3" x14ac:dyDescent="0.25">
      <c r="C152" s="28">
        <f>C151+31</f>
        <v>46002</v>
      </c>
    </row>
  </sheetData>
  <mergeCells count="1"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galinpepimut-S</vt:lpstr>
      <vt:lpstr>Literature</vt:lpstr>
      <vt:lpstr>Trial</vt:lpstr>
      <vt:lpstr>Patients</vt:lpstr>
      <vt:lpstr>18mo Scenario</vt:lpstr>
      <vt:lpstr>24mo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2024-09-27T13:16:40Z</dcterms:created>
  <dcterms:modified xsi:type="dcterms:W3CDTF">2026-06-29T20:28:44Z</dcterms:modified>
</cp:coreProperties>
</file>