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B27E894-806D-4056-B61B-95351E3DB055}" xr6:coauthVersionLast="47" xr6:coauthVersionMax="47" xr10:uidLastSave="{00000000-0000-0000-0000-000000000000}"/>
  <bookViews>
    <workbookView xWindow="150" yWindow="2930" windowWidth="15740" windowHeight="16580" activeTab="1" xr2:uid="{040A5584-314E-40E5-8C54-C0576405A9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2" l="1"/>
  <c r="I75" i="2"/>
  <c r="I74" i="2"/>
  <c r="H74" i="2"/>
  <c r="G74" i="2"/>
  <c r="F74" i="2"/>
  <c r="M93" i="2"/>
  <c r="M91" i="2"/>
  <c r="M90" i="2"/>
  <c r="M89" i="2"/>
  <c r="M92" i="2" s="1"/>
  <c r="M88" i="2"/>
  <c r="M87" i="2"/>
  <c r="M84" i="2"/>
  <c r="M83" i="2"/>
  <c r="M82" i="2"/>
  <c r="M81" i="2"/>
  <c r="M78" i="2"/>
  <c r="M79" i="2"/>
  <c r="M77" i="2"/>
  <c r="M76" i="2"/>
  <c r="M75" i="2"/>
  <c r="Q93" i="2"/>
  <c r="Q91" i="2"/>
  <c r="Q89" i="2"/>
  <c r="Q87" i="2"/>
  <c r="Q84" i="2"/>
  <c r="Q83" i="2"/>
  <c r="Q82" i="2"/>
  <c r="Q81" i="2"/>
  <c r="Q78" i="2"/>
  <c r="Q77" i="2"/>
  <c r="Q76" i="2"/>
  <c r="Q75" i="2"/>
  <c r="Q60" i="2"/>
  <c r="Q72" i="2"/>
  <c r="Q66" i="2"/>
  <c r="Q54" i="2"/>
  <c r="Q53" i="2"/>
  <c r="P36" i="2"/>
  <c r="P35" i="2"/>
  <c r="P34" i="2"/>
  <c r="P93" i="2"/>
  <c r="P91" i="2"/>
  <c r="P89" i="2"/>
  <c r="P87" i="2"/>
  <c r="P84" i="2"/>
  <c r="P83" i="2"/>
  <c r="P82" i="2"/>
  <c r="P81" i="2"/>
  <c r="P78" i="2"/>
  <c r="P77" i="2"/>
  <c r="P76" i="2"/>
  <c r="P75" i="2"/>
  <c r="P66" i="2"/>
  <c r="P72" i="2"/>
  <c r="P60" i="2"/>
  <c r="P54" i="2"/>
  <c r="P63" i="2"/>
  <c r="O34" i="2"/>
  <c r="O35" i="2" s="1"/>
  <c r="O36" i="2" s="1"/>
  <c r="N34" i="2"/>
  <c r="N35" i="2" s="1"/>
  <c r="N36" i="2" s="1"/>
  <c r="M34" i="2"/>
  <c r="M35" i="2" s="1"/>
  <c r="M36" i="2" s="1"/>
  <c r="O93" i="2"/>
  <c r="O91" i="2"/>
  <c r="O89" i="2"/>
  <c r="O87" i="2"/>
  <c r="O92" i="2" s="1"/>
  <c r="O84" i="2"/>
  <c r="O82" i="2"/>
  <c r="O83" i="2"/>
  <c r="O85" i="2" s="1"/>
  <c r="O81" i="2"/>
  <c r="O78" i="2"/>
  <c r="O77" i="2"/>
  <c r="O76" i="2"/>
  <c r="O75" i="2"/>
  <c r="O72" i="2"/>
  <c r="O66" i="2"/>
  <c r="O54" i="2"/>
  <c r="O60" i="2"/>
  <c r="O53" i="2"/>
  <c r="N53" i="2"/>
  <c r="N82" i="2"/>
  <c r="Q79" i="2"/>
  <c r="Q96" i="2" s="1"/>
  <c r="P79" i="2"/>
  <c r="P96" i="2" s="1"/>
  <c r="O79" i="2"/>
  <c r="O96" i="2" s="1"/>
  <c r="N78" i="2"/>
  <c r="N79" i="2" s="1"/>
  <c r="N96" i="2" s="1"/>
  <c r="N66" i="2"/>
  <c r="N72" i="2" s="1"/>
  <c r="N54" i="2"/>
  <c r="Q63" i="2"/>
  <c r="N60" i="2"/>
  <c r="N63" i="2" s="1"/>
  <c r="BK39" i="2"/>
  <c r="BL39" i="2" s="1"/>
  <c r="BJ39" i="2"/>
  <c r="BK30" i="2"/>
  <c r="BL30" i="2" s="1"/>
  <c r="BL31" i="2" s="1"/>
  <c r="BJ30" i="2"/>
  <c r="BJ50" i="2" s="1"/>
  <c r="Y32" i="2"/>
  <c r="Y31" i="2" s="1"/>
  <c r="X32" i="2"/>
  <c r="X31" i="2" s="1"/>
  <c r="W32" i="2"/>
  <c r="W51" i="2" s="1"/>
  <c r="V32" i="2"/>
  <c r="V31" i="2" s="1"/>
  <c r="Y50" i="2"/>
  <c r="X50" i="2"/>
  <c r="W50" i="2"/>
  <c r="V50" i="2"/>
  <c r="M96" i="2"/>
  <c r="S93" i="2"/>
  <c r="T93" i="2" s="1"/>
  <c r="S91" i="2"/>
  <c r="T91" i="2" s="1"/>
  <c r="S89" i="2"/>
  <c r="T89" i="2" s="1"/>
  <c r="S87" i="2"/>
  <c r="S84" i="2"/>
  <c r="T84" i="2" s="1"/>
  <c r="S83" i="2"/>
  <c r="T83" i="2" s="1"/>
  <c r="S81" i="2"/>
  <c r="S77" i="2"/>
  <c r="T77" i="2" s="1"/>
  <c r="S76" i="2"/>
  <c r="T76" i="2" s="1"/>
  <c r="S75" i="2"/>
  <c r="T75" i="2" s="1"/>
  <c r="S66" i="2"/>
  <c r="S72" i="2"/>
  <c r="S54" i="2"/>
  <c r="S53" i="2" s="1"/>
  <c r="S60" i="2"/>
  <c r="R90" i="2"/>
  <c r="S90" i="2" s="1"/>
  <c r="T90" i="2" s="1"/>
  <c r="R92" i="2"/>
  <c r="Q92" i="2"/>
  <c r="P92" i="2"/>
  <c r="N92" i="2"/>
  <c r="R82" i="2"/>
  <c r="S82" i="2" s="1"/>
  <c r="T82" i="2" s="1"/>
  <c r="R85" i="2"/>
  <c r="Q85" i="2"/>
  <c r="P85" i="2"/>
  <c r="N85" i="2"/>
  <c r="M85" i="2"/>
  <c r="R78" i="2"/>
  <c r="R79" i="2" s="1"/>
  <c r="R96" i="2" s="1"/>
  <c r="R66" i="2"/>
  <c r="R72" i="2" s="1"/>
  <c r="R60" i="2"/>
  <c r="R54" i="2"/>
  <c r="R63" i="2" s="1"/>
  <c r="S9" i="2"/>
  <c r="N10" i="2"/>
  <c r="Q10" i="2"/>
  <c r="R10" i="2"/>
  <c r="S10" i="2"/>
  <c r="P10" i="2"/>
  <c r="T10" i="2"/>
  <c r="T9" i="2"/>
  <c r="P9" i="2"/>
  <c r="P53" i="2" l="1"/>
  <c r="O63" i="2"/>
  <c r="R53" i="2"/>
  <c r="S8" i="2"/>
  <c r="S6" i="2" s="1"/>
  <c r="S78" i="2"/>
  <c r="T78" i="2" s="1"/>
  <c r="S85" i="2"/>
  <c r="BM39" i="2"/>
  <c r="S63" i="2"/>
  <c r="BK50" i="2"/>
  <c r="X51" i="2"/>
  <c r="Y51" i="2"/>
  <c r="W31" i="2"/>
  <c r="BL50" i="2"/>
  <c r="BM30" i="2"/>
  <c r="BL32" i="2"/>
  <c r="BL51" i="2" s="1"/>
  <c r="BK31" i="2"/>
  <c r="BK32" i="2"/>
  <c r="BK51" i="2" s="1"/>
  <c r="V51" i="2"/>
  <c r="S92" i="2"/>
  <c r="T8" i="2"/>
  <c r="T6" i="2" s="1"/>
  <c r="P8" i="2"/>
  <c r="P6" i="2" s="1"/>
  <c r="T79" i="2"/>
  <c r="T81" i="2"/>
  <c r="T85" i="2" s="1"/>
  <c r="S79" i="2"/>
  <c r="S96" i="2" s="1"/>
  <c r="M94" i="2"/>
  <c r="N94" i="2"/>
  <c r="O94" i="2"/>
  <c r="P94" i="2"/>
  <c r="Q94" i="2"/>
  <c r="T87" i="2"/>
  <c r="T92" i="2" s="1"/>
  <c r="T94" i="2" s="1"/>
  <c r="S94" i="2"/>
  <c r="R94" i="2"/>
  <c r="U47" i="2"/>
  <c r="U42" i="2"/>
  <c r="V42" i="2" s="1"/>
  <c r="U38" i="2"/>
  <c r="BJ38" i="2" s="1"/>
  <c r="BJ40" i="2" s="1"/>
  <c r="U32" i="2"/>
  <c r="U31" i="2" s="1"/>
  <c r="BJ31" i="2" s="1"/>
  <c r="BJ32" i="2" s="1"/>
  <c r="T66" i="2"/>
  <c r="T72" i="2" s="1"/>
  <c r="T54" i="2"/>
  <c r="T60" i="2"/>
  <c r="T63" i="2" s="1"/>
  <c r="W2" i="2"/>
  <c r="V2" i="2"/>
  <c r="T50" i="2"/>
  <c r="T40" i="2"/>
  <c r="T32" i="2"/>
  <c r="T51" i="2" s="1"/>
  <c r="U2" i="2"/>
  <c r="Y2" i="2" s="1"/>
  <c r="P2" i="2"/>
  <c r="T2" i="2" s="1"/>
  <c r="X2" i="2" s="1"/>
  <c r="S50" i="2"/>
  <c r="R50" i="2"/>
  <c r="P50" i="2"/>
  <c r="O50" i="2"/>
  <c r="N50" i="2"/>
  <c r="Q47" i="2"/>
  <c r="Q44" i="2"/>
  <c r="Q39" i="2"/>
  <c r="Q38" i="2"/>
  <c r="Q30" i="2"/>
  <c r="U50" i="2" s="1"/>
  <c r="Q31" i="2"/>
  <c r="P42" i="2"/>
  <c r="P32" i="2"/>
  <c r="P51" i="2" s="1"/>
  <c r="M42" i="2"/>
  <c r="M39" i="2"/>
  <c r="M38" i="2"/>
  <c r="M31" i="2"/>
  <c r="M30" i="2"/>
  <c r="M50" i="2" s="1"/>
  <c r="BI42" i="2"/>
  <c r="BH42" i="2"/>
  <c r="BI40" i="2"/>
  <c r="BH40" i="2"/>
  <c r="BH41" i="2" s="1"/>
  <c r="BI32" i="2"/>
  <c r="BI51" i="2" s="1"/>
  <c r="N42" i="2"/>
  <c r="N32" i="2"/>
  <c r="N51" i="2" s="1"/>
  <c r="R42" i="2"/>
  <c r="R32" i="2"/>
  <c r="R51" i="2" s="1"/>
  <c r="O42" i="2"/>
  <c r="O32" i="2"/>
  <c r="O51" i="2" s="1"/>
  <c r="S42" i="2"/>
  <c r="S40" i="2"/>
  <c r="R40" i="2"/>
  <c r="P40" i="2"/>
  <c r="O40" i="2"/>
  <c r="N40" i="2"/>
  <c r="S32" i="2"/>
  <c r="S51" i="2" s="1"/>
  <c r="AN96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O96" i="2"/>
  <c r="AM50" i="2"/>
  <c r="AN50" i="2"/>
  <c r="AL51" i="2"/>
  <c r="AM51" i="2"/>
  <c r="AQ96" i="2"/>
  <c r="AP96" i="2"/>
  <c r="AO50" i="2"/>
  <c r="AP50" i="2"/>
  <c r="AN51" i="2"/>
  <c r="AO51" i="2"/>
  <c r="AT96" i="2"/>
  <c r="AS96" i="2"/>
  <c r="AR96" i="2"/>
  <c r="AR51" i="2"/>
  <c r="AQ51" i="2"/>
  <c r="AP51" i="2"/>
  <c r="AS50" i="2"/>
  <c r="AR50" i="2"/>
  <c r="AQ50" i="2"/>
  <c r="AU96" i="2"/>
  <c r="AV96" i="2"/>
  <c r="AU50" i="2"/>
  <c r="AT50" i="2"/>
  <c r="AT51" i="2"/>
  <c r="AS51" i="2"/>
  <c r="AW96" i="2"/>
  <c r="AU51" i="2"/>
  <c r="AV50" i="2"/>
  <c r="AW50" i="2"/>
  <c r="AX50" i="2"/>
  <c r="AV51" i="2"/>
  <c r="AW51" i="2"/>
  <c r="AY96" i="2"/>
  <c r="AX96" i="2"/>
  <c r="AZ2" i="2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AE2" i="2" s="1"/>
  <c r="AZ96" i="2"/>
  <c r="BA50" i="2"/>
  <c r="AZ50" i="2"/>
  <c r="AY50" i="2"/>
  <c r="AZ51" i="2"/>
  <c r="AY51" i="2"/>
  <c r="AX51" i="2"/>
  <c r="BA96" i="2"/>
  <c r="BB50" i="2"/>
  <c r="BC50" i="2"/>
  <c r="BA44" i="2"/>
  <c r="BA42" i="2"/>
  <c r="BA40" i="2"/>
  <c r="BA32" i="2"/>
  <c r="BA51" i="2" s="1"/>
  <c r="BB96" i="2"/>
  <c r="BB44" i="2"/>
  <c r="BB42" i="2"/>
  <c r="BB40" i="2"/>
  <c r="BB32" i="2"/>
  <c r="BB51" i="2" s="1"/>
  <c r="BD96" i="2"/>
  <c r="BC96" i="2"/>
  <c r="BC44" i="2"/>
  <c r="BC42" i="2"/>
  <c r="BC40" i="2"/>
  <c r="BC32" i="2"/>
  <c r="BC51" i="2" s="1"/>
  <c r="BD44" i="2"/>
  <c r="BD42" i="2"/>
  <c r="BD30" i="2"/>
  <c r="BD50" i="2" s="1"/>
  <c r="BD40" i="2"/>
  <c r="BG96" i="2"/>
  <c r="BF96" i="2"/>
  <c r="BE96" i="2"/>
  <c r="BE44" i="2"/>
  <c r="BE42" i="2"/>
  <c r="BF44" i="2"/>
  <c r="BF42" i="2"/>
  <c r="BG44" i="2"/>
  <c r="BG42" i="2"/>
  <c r="BF40" i="2"/>
  <c r="BE40" i="2"/>
  <c r="BG40" i="2"/>
  <c r="BE30" i="2"/>
  <c r="BE32" i="2" s="1"/>
  <c r="BE51" i="2" s="1"/>
  <c r="BF30" i="2"/>
  <c r="BF32" i="2" s="1"/>
  <c r="BF51" i="2" s="1"/>
  <c r="BG30" i="2"/>
  <c r="BG32" i="2" s="1"/>
  <c r="BD2" i="2"/>
  <c r="K93" i="2"/>
  <c r="L93" i="2" s="1"/>
  <c r="K91" i="2"/>
  <c r="L91" i="2" s="1"/>
  <c r="K89" i="2"/>
  <c r="L89" i="2" s="1"/>
  <c r="K88" i="2"/>
  <c r="L88" i="2" s="1"/>
  <c r="K87" i="2"/>
  <c r="L87" i="2" s="1"/>
  <c r="K81" i="2"/>
  <c r="L81" i="2" s="1"/>
  <c r="K84" i="2"/>
  <c r="L84" i="2" s="1"/>
  <c r="K83" i="2"/>
  <c r="L83" i="2" s="1"/>
  <c r="K77" i="2"/>
  <c r="L77" i="2" s="1"/>
  <c r="K76" i="2"/>
  <c r="L76" i="2" s="1"/>
  <c r="L34" i="2" s="1"/>
  <c r="K75" i="2"/>
  <c r="J92" i="2"/>
  <c r="J82" i="2"/>
  <c r="J85" i="2" s="1"/>
  <c r="J34" i="2"/>
  <c r="J78" i="2"/>
  <c r="J79" i="2" s="1"/>
  <c r="J96" i="2" s="1"/>
  <c r="M2" i="2"/>
  <c r="BJ2" i="2" s="1"/>
  <c r="BK2" i="2" s="1"/>
  <c r="L50" i="2"/>
  <c r="K50" i="2"/>
  <c r="J50" i="2"/>
  <c r="I50" i="2"/>
  <c r="E44" i="2"/>
  <c r="E42" i="2"/>
  <c r="E40" i="2"/>
  <c r="E32" i="2"/>
  <c r="E51" i="2" s="1"/>
  <c r="F42" i="2"/>
  <c r="I40" i="2"/>
  <c r="I32" i="2"/>
  <c r="F40" i="2"/>
  <c r="F32" i="2"/>
  <c r="F51" i="2" s="1"/>
  <c r="J44" i="2"/>
  <c r="J42" i="2"/>
  <c r="G42" i="2"/>
  <c r="G40" i="2"/>
  <c r="G32" i="2"/>
  <c r="G51" i="2" s="1"/>
  <c r="J32" i="2"/>
  <c r="J51" i="2" s="1"/>
  <c r="J40" i="2"/>
  <c r="K44" i="2"/>
  <c r="K42" i="2"/>
  <c r="K32" i="2"/>
  <c r="K51" i="2" s="1"/>
  <c r="L44" i="2"/>
  <c r="L42" i="2"/>
  <c r="K40" i="2"/>
  <c r="H40" i="2"/>
  <c r="H32" i="2"/>
  <c r="H51" i="2" s="1"/>
  <c r="L40" i="2"/>
  <c r="L32" i="2"/>
  <c r="J4" i="1"/>
  <c r="J7" i="1" s="1"/>
  <c r="BJ54" i="2" l="1"/>
  <c r="BK42" i="2" s="1"/>
  <c r="T53" i="2"/>
  <c r="BM50" i="2"/>
  <c r="BN30" i="2"/>
  <c r="BO30" i="2" s="1"/>
  <c r="BJ41" i="2"/>
  <c r="BJ51" i="2"/>
  <c r="BN39" i="2"/>
  <c r="BN50" i="2"/>
  <c r="BM31" i="2"/>
  <c r="BM32" i="2"/>
  <c r="BJ42" i="2"/>
  <c r="BJ43" i="2" s="1"/>
  <c r="W42" i="2"/>
  <c r="X42" i="2" s="1"/>
  <c r="Y42" i="2" s="1"/>
  <c r="V47" i="2"/>
  <c r="BJ47" i="2"/>
  <c r="Q40" i="2"/>
  <c r="U40" i="2"/>
  <c r="U41" i="2" s="1"/>
  <c r="U43" i="2" s="1"/>
  <c r="U44" i="2" s="1"/>
  <c r="V38" i="2"/>
  <c r="T96" i="2"/>
  <c r="U51" i="2"/>
  <c r="M40" i="2"/>
  <c r="T41" i="2"/>
  <c r="T43" i="2" s="1"/>
  <c r="T45" i="2" s="1"/>
  <c r="Q42" i="2"/>
  <c r="N41" i="2"/>
  <c r="N43" i="2" s="1"/>
  <c r="N45" i="2" s="1"/>
  <c r="R41" i="2"/>
  <c r="R43" i="2" s="1"/>
  <c r="R45" i="2" s="1"/>
  <c r="O41" i="2"/>
  <c r="O43" i="2" s="1"/>
  <c r="O45" i="2" s="1"/>
  <c r="BH30" i="2"/>
  <c r="M32" i="2"/>
  <c r="M51" i="2" s="1"/>
  <c r="Q32" i="2"/>
  <c r="Q51" i="2" s="1"/>
  <c r="P41" i="2"/>
  <c r="P43" i="2" s="1"/>
  <c r="P45" i="2" s="1"/>
  <c r="S41" i="2"/>
  <c r="S43" i="2" s="1"/>
  <c r="S45" i="2" s="1"/>
  <c r="Q50" i="2"/>
  <c r="BH43" i="2"/>
  <c r="BH45" i="2" s="1"/>
  <c r="BH46" i="2" s="1"/>
  <c r="BI41" i="2"/>
  <c r="BI43" i="2" s="1"/>
  <c r="BI45" i="2" s="1"/>
  <c r="BI46" i="2" s="1"/>
  <c r="BG107" i="2"/>
  <c r="BD107" i="2"/>
  <c r="BE107" i="2"/>
  <c r="BF107" i="2"/>
  <c r="AU97" i="2"/>
  <c r="AW101" i="2"/>
  <c r="AX102" i="2"/>
  <c r="AX101" i="2"/>
  <c r="AY101" i="2"/>
  <c r="AU98" i="2"/>
  <c r="AV98" i="2"/>
  <c r="AY102" i="2"/>
  <c r="AZ102" i="2"/>
  <c r="AW102" i="2"/>
  <c r="AS97" i="2"/>
  <c r="AT97" i="2"/>
  <c r="AQ97" i="2"/>
  <c r="AT98" i="2"/>
  <c r="AU99" i="2"/>
  <c r="AS99" i="2"/>
  <c r="AV99" i="2"/>
  <c r="AT99" i="2"/>
  <c r="AW99" i="2"/>
  <c r="AT100" i="2"/>
  <c r="AV100" i="2"/>
  <c r="AU100" i="2"/>
  <c r="AW100" i="2"/>
  <c r="AU101" i="2"/>
  <c r="AV101" i="2"/>
  <c r="AV102" i="2"/>
  <c r="AR97" i="2"/>
  <c r="AR98" i="2"/>
  <c r="AS98" i="2"/>
  <c r="AX100" i="2"/>
  <c r="BE102" i="2"/>
  <c r="BG98" i="2"/>
  <c r="BA98" i="2"/>
  <c r="BC102" i="2"/>
  <c r="BD102" i="2"/>
  <c r="AY99" i="2"/>
  <c r="BA97" i="2"/>
  <c r="BA99" i="2"/>
  <c r="AX99" i="2"/>
  <c r="AY97" i="2"/>
  <c r="BB99" i="2"/>
  <c r="BB100" i="2"/>
  <c r="AY100" i="2"/>
  <c r="BC100" i="2"/>
  <c r="BA101" i="2"/>
  <c r="BB101" i="2"/>
  <c r="BC101" i="2"/>
  <c r="BB102" i="2"/>
  <c r="AV97" i="2"/>
  <c r="AW97" i="2"/>
  <c r="AZ97" i="2"/>
  <c r="AX98" i="2"/>
  <c r="AY98" i="2"/>
  <c r="BA100" i="2"/>
  <c r="BA102" i="2"/>
  <c r="AZ98" i="2"/>
  <c r="AZ99" i="2"/>
  <c r="AZ100" i="2"/>
  <c r="AX97" i="2"/>
  <c r="AW98" i="2"/>
  <c r="AZ101" i="2"/>
  <c r="BD101" i="2"/>
  <c r="BG97" i="2"/>
  <c r="BF97" i="2"/>
  <c r="BD100" i="2"/>
  <c r="BE101" i="2"/>
  <c r="BB98" i="2"/>
  <c r="BC99" i="2"/>
  <c r="BF102" i="2"/>
  <c r="BD97" i="2"/>
  <c r="BD32" i="2"/>
  <c r="BD51" i="2" s="1"/>
  <c r="BG101" i="2"/>
  <c r="I41" i="2"/>
  <c r="I43" i="2" s="1"/>
  <c r="I45" i="2" s="1"/>
  <c r="I46" i="2" s="1"/>
  <c r="BG102" i="2"/>
  <c r="BA41" i="2"/>
  <c r="BA43" i="2" s="1"/>
  <c r="BA45" i="2" s="1"/>
  <c r="BA46" i="2" s="1"/>
  <c r="BC98" i="2"/>
  <c r="BD99" i="2"/>
  <c r="BE100" i="2"/>
  <c r="BC41" i="2"/>
  <c r="BC43" i="2" s="1"/>
  <c r="BC45" i="2" s="1"/>
  <c r="BC46" i="2" s="1"/>
  <c r="BB97" i="2"/>
  <c r="BG100" i="2"/>
  <c r="BF101" i="2"/>
  <c r="BG41" i="2"/>
  <c r="BG43" i="2" s="1"/>
  <c r="BG45" i="2" s="1"/>
  <c r="BG46" i="2" s="1"/>
  <c r="BG51" i="2"/>
  <c r="BG99" i="2"/>
  <c r="BF98" i="2"/>
  <c r="BC97" i="2"/>
  <c r="BE97" i="2"/>
  <c r="BE98" i="2"/>
  <c r="BF99" i="2"/>
  <c r="BE50" i="2"/>
  <c r="BF41" i="2"/>
  <c r="BF43" i="2" s="1"/>
  <c r="BF45" i="2" s="1"/>
  <c r="BF46" i="2" s="1"/>
  <c r="BD98" i="2"/>
  <c r="BE99" i="2"/>
  <c r="BB41" i="2"/>
  <c r="BB43" i="2" s="1"/>
  <c r="BB45" i="2" s="1"/>
  <c r="BB46" i="2" s="1"/>
  <c r="BF100" i="2"/>
  <c r="BE41" i="2"/>
  <c r="BE43" i="2" s="1"/>
  <c r="BE45" i="2" s="1"/>
  <c r="BE46" i="2" s="1"/>
  <c r="BF50" i="2"/>
  <c r="BG50" i="2"/>
  <c r="L92" i="2"/>
  <c r="L41" i="2"/>
  <c r="L43" i="2" s="1"/>
  <c r="L45" i="2" s="1"/>
  <c r="K78" i="2"/>
  <c r="L78" i="2" s="1"/>
  <c r="K34" i="2"/>
  <c r="K35" i="2" s="1"/>
  <c r="K36" i="2" s="1"/>
  <c r="L75" i="2"/>
  <c r="K92" i="2"/>
  <c r="K82" i="2"/>
  <c r="L35" i="2"/>
  <c r="L36" i="2" s="1"/>
  <c r="J94" i="2"/>
  <c r="J35" i="2"/>
  <c r="J36" i="2" s="1"/>
  <c r="H41" i="2"/>
  <c r="H43" i="2" s="1"/>
  <c r="H45" i="2" s="1"/>
  <c r="H46" i="2" s="1"/>
  <c r="I51" i="2"/>
  <c r="G41" i="2"/>
  <c r="G43" i="2" s="1"/>
  <c r="G45" i="2" s="1"/>
  <c r="G46" i="2" s="1"/>
  <c r="E41" i="2"/>
  <c r="E43" i="2" s="1"/>
  <c r="E45" i="2" s="1"/>
  <c r="E46" i="2" s="1"/>
  <c r="F41" i="2"/>
  <c r="F43" i="2" s="1"/>
  <c r="F45" i="2" s="1"/>
  <c r="F46" i="2" s="1"/>
  <c r="J41" i="2"/>
  <c r="J43" i="2" s="1"/>
  <c r="J45" i="2" s="1"/>
  <c r="L51" i="2"/>
  <c r="K41" i="2"/>
  <c r="K43" i="2" s="1"/>
  <c r="K45" i="2" s="1"/>
  <c r="BH107" i="2" l="1"/>
  <c r="BH51" i="2"/>
  <c r="BH50" i="2"/>
  <c r="BI50" i="2"/>
  <c r="AL109" i="2"/>
  <c r="BO39" i="2"/>
  <c r="BM51" i="2"/>
  <c r="BO50" i="2"/>
  <c r="BN31" i="2"/>
  <c r="BN32" i="2" s="1"/>
  <c r="U45" i="2"/>
  <c r="U46" i="2" s="1"/>
  <c r="BJ44" i="2"/>
  <c r="BJ45" i="2" s="1"/>
  <c r="BJ46" i="2" s="1"/>
  <c r="W47" i="2"/>
  <c r="X47" i="2" s="1"/>
  <c r="Y47" i="2" s="1"/>
  <c r="BK47" i="2"/>
  <c r="BL47" i="2" s="1"/>
  <c r="BM47" i="2" s="1"/>
  <c r="BN47" i="2" s="1"/>
  <c r="BO47" i="2" s="1"/>
  <c r="BP47" i="2" s="1"/>
  <c r="BQ47" i="2" s="1"/>
  <c r="BR47" i="2" s="1"/>
  <c r="Q41" i="2"/>
  <c r="Q43" i="2" s="1"/>
  <c r="Q45" i="2" s="1"/>
  <c r="Q46" i="2" s="1"/>
  <c r="V40" i="2"/>
  <c r="V41" i="2" s="1"/>
  <c r="V43" i="2" s="1"/>
  <c r="V44" i="2" s="1"/>
  <c r="W38" i="2"/>
  <c r="P46" i="2"/>
  <c r="P74" i="2"/>
  <c r="R46" i="2"/>
  <c r="R74" i="2"/>
  <c r="S46" i="2"/>
  <c r="S74" i="2"/>
  <c r="O46" i="2"/>
  <c r="O74" i="2"/>
  <c r="N46" i="2"/>
  <c r="N74" i="2"/>
  <c r="T46" i="2"/>
  <c r="T74" i="2"/>
  <c r="M41" i="2"/>
  <c r="M43" i="2" s="1"/>
  <c r="M45" i="2" s="1"/>
  <c r="BD41" i="2"/>
  <c r="BD43" i="2" s="1"/>
  <c r="BD45" i="2" s="1"/>
  <c r="BD46" i="2" s="1"/>
  <c r="L79" i="2"/>
  <c r="L96" i="2" s="1"/>
  <c r="K79" i="2"/>
  <c r="K96" i="2" s="1"/>
  <c r="K46" i="2"/>
  <c r="K74" i="2"/>
  <c r="L46" i="2"/>
  <c r="L74" i="2"/>
  <c r="L82" i="2"/>
  <c r="L85" i="2" s="1"/>
  <c r="K85" i="2"/>
  <c r="J46" i="2"/>
  <c r="J74" i="2"/>
  <c r="K94" i="2" l="1"/>
  <c r="L94" i="2"/>
  <c r="BP39" i="2"/>
  <c r="BN51" i="2"/>
  <c r="BP30" i="2"/>
  <c r="BO31" i="2"/>
  <c r="BO32" i="2" s="1"/>
  <c r="V45" i="2"/>
  <c r="V46" i="2" s="1"/>
  <c r="Q74" i="2"/>
  <c r="X38" i="2"/>
  <c r="W40" i="2"/>
  <c r="W41" i="2" s="1"/>
  <c r="W43" i="2" s="1"/>
  <c r="W44" i="2" s="1"/>
  <c r="W45" i="2" s="1"/>
  <c r="W46" i="2" s="1"/>
  <c r="M46" i="2"/>
  <c r="M74" i="2"/>
  <c r="BH96" i="2"/>
  <c r="AL110" i="2" s="1"/>
  <c r="BQ39" i="2" l="1"/>
  <c r="BP31" i="2"/>
  <c r="BP50" i="2"/>
  <c r="BO51" i="2"/>
  <c r="BQ30" i="2"/>
  <c r="BP32" i="2"/>
  <c r="X40" i="2"/>
  <c r="X41" i="2" s="1"/>
  <c r="X43" i="2" s="1"/>
  <c r="Y38" i="2"/>
  <c r="Y40" i="2" s="1"/>
  <c r="Y41" i="2" s="1"/>
  <c r="Y43" i="2" s="1"/>
  <c r="Y44" i="2" s="1"/>
  <c r="Y45" i="2" s="1"/>
  <c r="Y46" i="2" s="1"/>
  <c r="BH99" i="2"/>
  <c r="BH98" i="2"/>
  <c r="BH102" i="2"/>
  <c r="BH100" i="2"/>
  <c r="BH101" i="2"/>
  <c r="BH97" i="2"/>
  <c r="BR39" i="2" l="1"/>
  <c r="BQ31" i="2"/>
  <c r="BQ32" i="2" s="1"/>
  <c r="BQ50" i="2"/>
  <c r="BP51" i="2"/>
  <c r="BR30" i="2"/>
  <c r="BK38" i="2"/>
  <c r="BL38" i="2" s="1"/>
  <c r="BM38" i="2" s="1"/>
  <c r="BN38" i="2" s="1"/>
  <c r="BO38" i="2" s="1"/>
  <c r="BP38" i="2" s="1"/>
  <c r="BQ38" i="2" s="1"/>
  <c r="BR38" i="2" s="1"/>
  <c r="X44" i="2"/>
  <c r="BK44" i="2" s="1"/>
  <c r="X45" i="2" l="1"/>
  <c r="X46" i="2" s="1"/>
  <c r="BK40" i="2"/>
  <c r="BK41" i="2" s="1"/>
  <c r="BK43" i="2" s="1"/>
  <c r="BK45" i="2" s="1"/>
  <c r="BR31" i="2"/>
  <c r="BR32" i="2" s="1"/>
  <c r="BR50" i="2"/>
  <c r="BQ51" i="2"/>
  <c r="BK46" i="2" l="1"/>
  <c r="BK54" i="2"/>
  <c r="BL42" i="2" s="1"/>
  <c r="BL40" i="2"/>
  <c r="BL41" i="2" s="1"/>
  <c r="BR51" i="2"/>
  <c r="BL43" i="2" l="1"/>
  <c r="BL44" i="2" s="1"/>
  <c r="BL45" i="2" s="1"/>
  <c r="BL54" i="2"/>
  <c r="BM42" i="2" s="1"/>
  <c r="BM40" i="2"/>
  <c r="BM41" i="2" s="1"/>
  <c r="BM43" i="2" s="1"/>
  <c r="BM44" i="2" s="1"/>
  <c r="BM45" i="2" s="1"/>
  <c r="BM46" i="2" s="1"/>
  <c r="BL46" i="2" l="1"/>
  <c r="BM54" i="2"/>
  <c r="BN42" i="2" s="1"/>
  <c r="BN40" i="2"/>
  <c r="BN41" i="2" s="1"/>
  <c r="BN43" i="2" l="1"/>
  <c r="BN44" i="2"/>
  <c r="BN45" i="2" s="1"/>
  <c r="BO40" i="2"/>
  <c r="BO41" i="2" s="1"/>
  <c r="BN54" i="2" l="1"/>
  <c r="BO42" i="2" s="1"/>
  <c r="BO43" i="2"/>
  <c r="BO44" i="2" s="1"/>
  <c r="BO45" i="2" s="1"/>
  <c r="BO46" i="2" s="1"/>
  <c r="BP40" i="2"/>
  <c r="BP41" i="2" s="1"/>
  <c r="BN46" i="2"/>
  <c r="BO54" i="2" l="1"/>
  <c r="BP42" i="2" s="1"/>
  <c r="BP43" i="2"/>
  <c r="BP44" i="2" s="1"/>
  <c r="BP45" i="2" s="1"/>
  <c r="BP46" i="2" s="1"/>
  <c r="BP54" i="2"/>
  <c r="BQ42" i="2" s="1"/>
  <c r="BR40" i="2"/>
  <c r="BR41" i="2" s="1"/>
  <c r="BQ40" i="2"/>
  <c r="BQ41" i="2" s="1"/>
  <c r="BQ43" i="2" s="1"/>
  <c r="BQ44" i="2" s="1"/>
  <c r="BQ45" i="2" s="1"/>
  <c r="BQ54" i="2" l="1"/>
  <c r="BQ46" i="2"/>
  <c r="BR42" i="2" l="1"/>
  <c r="BR43" i="2" s="1"/>
  <c r="BR44" i="2" s="1"/>
  <c r="BR45" i="2" s="1"/>
  <c r="BR46" i="2" l="1"/>
  <c r="BS45" i="2"/>
  <c r="BR54" i="2"/>
  <c r="BT45" i="2" l="1"/>
  <c r="BU45" i="2" s="1"/>
  <c r="BV45" i="2" s="1"/>
  <c r="BW45" i="2" s="1"/>
  <c r="BX45" i="2" s="1"/>
  <c r="BY45" i="2" s="1"/>
  <c r="BZ45" i="2" s="1"/>
  <c r="CA45" i="2" s="1"/>
  <c r="CB45" i="2" s="1"/>
  <c r="CC45" i="2" s="1"/>
  <c r="CD45" i="2" s="1"/>
  <c r="CE45" i="2" s="1"/>
  <c r="CF45" i="2" s="1"/>
  <c r="CG45" i="2" s="1"/>
  <c r="CH45" i="2" s="1"/>
  <c r="CI45" i="2" s="1"/>
  <c r="CJ45" i="2" s="1"/>
  <c r="CK45" i="2" s="1"/>
  <c r="CL45" i="2" s="1"/>
  <c r="CM45" i="2" s="1"/>
  <c r="CN45" i="2" s="1"/>
  <c r="CO45" i="2" s="1"/>
  <c r="CP45" i="2" s="1"/>
  <c r="CQ45" i="2" s="1"/>
  <c r="CR45" i="2" s="1"/>
  <c r="CS45" i="2" l="1"/>
  <c r="CT45" i="2" s="1"/>
  <c r="CU45" i="2" s="1"/>
  <c r="CV45" i="2" s="1"/>
  <c r="CW45" i="2" s="1"/>
  <c r="CX45" i="2" s="1"/>
  <c r="CY45" i="2" s="1"/>
  <c r="CZ45" i="2" s="1"/>
  <c r="DA45" i="2" s="1"/>
  <c r="DB45" i="2" s="1"/>
  <c r="DC45" i="2" s="1"/>
  <c r="DD45" i="2" s="1"/>
  <c r="DE45" i="2" s="1"/>
  <c r="DF45" i="2" s="1"/>
  <c r="DG45" i="2" s="1"/>
  <c r="DH45" i="2" s="1"/>
  <c r="BU55" i="2"/>
  <c r="BU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tc={6A4143ED-26E9-4411-9286-9237FAFF0E88}</author>
    <author>tc={3008C551-30A5-46FF-B334-8C2B5CB8A471}</author>
    <author>tc={F798A0F5-A887-4724-BC4E-5E9C410B72F3}</author>
    <author>tc={C2C56BEE-B08A-44C4-854B-7CF5BE0F99D5}</author>
    <author>tc={26F098AE-606C-469D-8EA5-E5734FC4346B}</author>
    <author>tc={A2CA7513-EFA4-44DE-A320-E3BC81A442B0}</author>
    <author>tc={B24314FC-4A9F-4AFD-A94C-83129BD06448}</author>
    <author>tc={9815DEC1-22DA-48EA-864F-C2F08422960A}</author>
    <author>tc={4B23F65F-968B-4BE7-8C55-5F91671872B8}</author>
    <author>tc={816B86D6-80F2-414F-B7D3-5F469703BD5F}</author>
    <author>tc={554E7526-D021-45FD-9708-807F1FB6EF62}</author>
  </authors>
  <commentList>
    <comment ref="B23" authorId="0" shapeId="0" xr:uid="{6A4143ED-26E9-4411-9286-9237FAFF0E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Cloud Memory</t>
      </text>
    </comment>
    <comment ref="B24" authorId="1" shapeId="0" xr:uid="{3008C551-30A5-46FF-B334-8C2B5CB8A4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Data Center</t>
      </text>
    </comment>
    <comment ref="B25" authorId="2" shapeId="0" xr:uid="{F798A0F5-A887-4724-BC4E-5E9C410B72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Mobile &amp; Client</t>
      </text>
    </comment>
    <comment ref="B26" authorId="3" shapeId="0" xr:uid="{C2C56BEE-B08A-44C4-854B-7CF5BE0F99D5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Automotive &amp; Embedded</t>
      </text>
    </comment>
    <comment ref="L30" authorId="4" shapeId="0" xr:uid="{26F098AE-606C-469D-8EA5-E5734FC4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6.6B</t>
      </text>
    </comment>
    <comment ref="S30" authorId="5" shapeId="0" xr:uid="{A2CA7513-EFA4-44DE-A320-E3BC81A442B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 guidance: 18.7B</t>
      </text>
    </comment>
    <comment ref="T30" authorId="6" shapeId="0" xr:uid="{B24314FC-4A9F-4AFD-A94C-83129BD06448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33.5B+-750m</t>
      </text>
    </comment>
    <comment ref="BJ30" authorId="7" shapeId="0" xr:uid="{9815DEC1-22DA-48EA-864F-C2F08422960A}">
      <text>
        <t>[Threaded comment]
Your version of Excel allows you to read this threaded comment; however, any edits to it will get removed if the file is opened in a newer version of Excel. Learn more: https://go.microsoft.com/fwlink/?linkid=870924
Comment:
    DRAM low-mid +20% bit shipments</t>
      </text>
    </comment>
    <comment ref="BJ46" authorId="8" shapeId="0" xr:uid="{4B23F65F-968B-4BE7-8C55-5F91671872B8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7/11/26 consensus: 73.14</t>
      </text>
    </comment>
    <comment ref="BK46" authorId="9" shapeId="0" xr:uid="{816B86D6-80F2-414F-B7D3-5F469703BD5F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7/11/26 consensus: 152.57</t>
      </text>
    </comment>
    <comment ref="BL46" authorId="10" shapeId="0" xr:uid="{554E7526-D021-45FD-9708-807F1FB6EF62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7/11/28 consensus: 104.50</t>
      </text>
    </comment>
  </commentList>
</comments>
</file>

<file path=xl/sharedStrings.xml><?xml version="1.0" encoding="utf-8"?>
<sst xmlns="http://schemas.openxmlformats.org/spreadsheetml/2006/main" count="243" uniqueCount="229">
  <si>
    <t>Price</t>
  </si>
  <si>
    <t>Shares</t>
  </si>
  <si>
    <t>MC</t>
  </si>
  <si>
    <t>Cash</t>
  </si>
  <si>
    <t>Debt</t>
  </si>
  <si>
    <t>EV</t>
  </si>
  <si>
    <t>Main</t>
  </si>
  <si>
    <t>Revenue</t>
  </si>
  <si>
    <t>Gross Profit</t>
  </si>
  <si>
    <t>COGS</t>
  </si>
  <si>
    <t>Operating Expenses</t>
  </si>
  <si>
    <t>Operating Income</t>
  </si>
  <si>
    <t>R&amp;D</t>
  </si>
  <si>
    <t>SG&amp;A</t>
  </si>
  <si>
    <t>Interest Income</t>
  </si>
  <si>
    <t>Pretax Income</t>
  </si>
  <si>
    <t>Taxes</t>
  </si>
  <si>
    <t>Net Income</t>
  </si>
  <si>
    <t>EPS</t>
  </si>
  <si>
    <t>FQ324</t>
  </si>
  <si>
    <t>FQ224</t>
  </si>
  <si>
    <t>FQ124</t>
  </si>
  <si>
    <t>FQ423</t>
  </si>
  <si>
    <t>FQ323</t>
  </si>
  <si>
    <t>FQ223</t>
  </si>
  <si>
    <t>FQ123</t>
  </si>
  <si>
    <t>FQ424</t>
  </si>
  <si>
    <t>FQ125</t>
  </si>
  <si>
    <t>FQ225</t>
  </si>
  <si>
    <t>FQ325</t>
  </si>
  <si>
    <t>FQ425</t>
  </si>
  <si>
    <t>Gross Margin</t>
  </si>
  <si>
    <t>Revenue Growth</t>
  </si>
  <si>
    <t>FQ422</t>
  </si>
  <si>
    <t>Model NI</t>
  </si>
  <si>
    <t>Reported NI</t>
  </si>
  <si>
    <t>Depreciation</t>
  </si>
  <si>
    <t>SBC</t>
  </si>
  <si>
    <t>WC</t>
  </si>
  <si>
    <t>CFFO</t>
  </si>
  <si>
    <t>Gross Profit + D</t>
  </si>
  <si>
    <t>CFFI</t>
  </si>
  <si>
    <t>Securities</t>
  </si>
  <si>
    <t>Government</t>
  </si>
  <si>
    <t>Other</t>
  </si>
  <si>
    <t>Leases</t>
  </si>
  <si>
    <t>Dividends</t>
  </si>
  <si>
    <t>CIC</t>
  </si>
  <si>
    <t>FX</t>
  </si>
  <si>
    <t>CFFF</t>
  </si>
  <si>
    <t>FCF</t>
  </si>
  <si>
    <t>CapEx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</si>
  <si>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</si>
  <si>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</si>
  <si>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</si>
  <si>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</si>
  <si>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</si>
  <si>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</si>
  <si>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</si>
  <si>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</si>
  <si>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</si>
  <si>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</si>
  <si>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</si>
  <si>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</si>
  <si>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</si>
  <si>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</si>
  <si>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</si>
  <si>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</si>
  <si>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</si>
  <si>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</si>
  <si>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</si>
  <si>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</si>
  <si>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</si>
  <si>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</si>
  <si>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</si>
  <si>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</si>
  <si>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</si>
  <si>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</si>
  <si>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</si>
  <si>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</si>
  <si>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</si>
  <si>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</si>
  <si>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</si>
  <si>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</si>
  <si>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</si>
  <si>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</si>
  <si>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</si>
  <si>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</si>
  <si>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</si>
  <si>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</si>
  <si>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</si>
  <si>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</si>
  <si>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</si>
  <si>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</si>
  <si>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</si>
  <si>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</si>
  <si>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</si>
  <si>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</si>
  <si>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</si>
  <si>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F2021</t>
  </si>
  <si>
    <t>F2020</t>
  </si>
  <si>
    <t>F2019</t>
  </si>
  <si>
    <t>F2018</t>
  </si>
  <si>
    <t>Founded: 1978</t>
  </si>
  <si>
    <t>Boise, Idaho</t>
  </si>
  <si>
    <t>DRAM</t>
  </si>
  <si>
    <t>Volatile</t>
  </si>
  <si>
    <t>DDR4</t>
  </si>
  <si>
    <t>LPDRAM4</t>
  </si>
  <si>
    <t>1x, 1y, 1z, 1-alpha technology nodes</t>
  </si>
  <si>
    <t>FCF T2Y</t>
  </si>
  <si>
    <t>FCF T3Y</t>
  </si>
  <si>
    <t>FCF T4Y</t>
  </si>
  <si>
    <t>FCF T5Y</t>
  </si>
  <si>
    <t>FCF T6Y</t>
  </si>
  <si>
    <t>F2017</t>
  </si>
  <si>
    <t>FCF T7Y</t>
  </si>
  <si>
    <t>F2016</t>
  </si>
  <si>
    <t>F2015</t>
  </si>
  <si>
    <t>F2014</t>
  </si>
  <si>
    <t>F2013</t>
  </si>
  <si>
    <t>F2012</t>
  </si>
  <si>
    <t>F2011</t>
  </si>
  <si>
    <t>F2010</t>
  </si>
  <si>
    <t>F2009</t>
  </si>
  <si>
    <t>F2008</t>
  </si>
  <si>
    <t>F2007</t>
  </si>
  <si>
    <t>F2006</t>
  </si>
  <si>
    <t>F2005</t>
  </si>
  <si>
    <t>F2004</t>
  </si>
  <si>
    <t>F2002</t>
  </si>
  <si>
    <t>F2003</t>
  </si>
  <si>
    <t>F2001</t>
  </si>
  <si>
    <t>F2000</t>
  </si>
  <si>
    <t>F1999</t>
  </si>
  <si>
    <t>F1998</t>
  </si>
  <si>
    <t>F1997</t>
  </si>
  <si>
    <t>F1996</t>
  </si>
  <si>
    <t>F1995</t>
  </si>
  <si>
    <t>F1994</t>
  </si>
  <si>
    <t>F1993</t>
  </si>
  <si>
    <t>F1992</t>
  </si>
  <si>
    <t>F1991</t>
  </si>
  <si>
    <t>P/S</t>
  </si>
  <si>
    <t>R Revenue</t>
  </si>
  <si>
    <t>R FCF</t>
  </si>
  <si>
    <t>FQ126</t>
  </si>
  <si>
    <t>FQ226</t>
  </si>
  <si>
    <t>FQ326</t>
  </si>
  <si>
    <t>FQ426</t>
  </si>
  <si>
    <t>Q226</t>
  </si>
  <si>
    <t>FQ127</t>
  </si>
  <si>
    <t>FQ227</t>
  </si>
  <si>
    <t>FQ327</t>
  </si>
  <si>
    <t>FQ427</t>
  </si>
  <si>
    <t>Inventories</t>
  </si>
  <si>
    <t>AR</t>
  </si>
  <si>
    <t>OCA</t>
  </si>
  <si>
    <t>PP&amp;E</t>
  </si>
  <si>
    <t>Lease</t>
  </si>
  <si>
    <t>Intangibles</t>
  </si>
  <si>
    <t>DTA</t>
  </si>
  <si>
    <t>ONCA</t>
  </si>
  <si>
    <t>Assets</t>
  </si>
  <si>
    <t>AP</t>
  </si>
  <si>
    <t>OCL</t>
  </si>
  <si>
    <t>L+SE</t>
  </si>
  <si>
    <t>ONCL</t>
  </si>
  <si>
    <t>SE</t>
  </si>
  <si>
    <t>Nvidia</t>
  </si>
  <si>
    <t>Hynix</t>
  </si>
  <si>
    <t>Samsung</t>
  </si>
  <si>
    <t>Total Memory</t>
  </si>
  <si>
    <t>HBM?</t>
  </si>
  <si>
    <t>TPU</t>
  </si>
  <si>
    <t>CEO: Sanjay Mehrotra</t>
  </si>
  <si>
    <t>CMBU</t>
  </si>
  <si>
    <t>DCBU</t>
  </si>
  <si>
    <t>MCBU</t>
  </si>
  <si>
    <t>AEBU</t>
  </si>
  <si>
    <t>Buybacks</t>
  </si>
  <si>
    <t>Data Center SSD</t>
  </si>
  <si>
    <t>G9 NAND node</t>
  </si>
  <si>
    <t>2H27: next-gen manufacturing nodes begin production</t>
  </si>
  <si>
    <t>HBM4 12-high</t>
  </si>
  <si>
    <t>HBM3E 12-high</t>
  </si>
  <si>
    <t>DDR5 --&gt; DDR6</t>
  </si>
  <si>
    <t>LPDRAM5 --&gt; LP6</t>
  </si>
  <si>
    <t>1-delta node</t>
  </si>
  <si>
    <t>ASML EUV supplier</t>
  </si>
  <si>
    <t>ID1</t>
  </si>
  <si>
    <t>ID2</t>
  </si>
  <si>
    <t>Idaho fab</t>
  </si>
  <si>
    <t>Manassas</t>
  </si>
  <si>
    <t>Virginia fab</t>
  </si>
  <si>
    <t>1-alpha DDR4</t>
  </si>
  <si>
    <t>NY cluster</t>
  </si>
  <si>
    <t>January 2026 construction began</t>
  </si>
  <si>
    <t>New York fab</t>
  </si>
  <si>
    <t>first wafer mid 2027</t>
  </si>
  <si>
    <t>first wafer late 2028</t>
  </si>
  <si>
    <t>Tongluo</t>
  </si>
  <si>
    <t>Taiwan fab</t>
  </si>
  <si>
    <t>300sqft mid 2027 supply</t>
  </si>
  <si>
    <t>Singapore</t>
  </si>
  <si>
    <t>packaging</t>
  </si>
  <si>
    <t>NAND</t>
  </si>
  <si>
    <t>Maturity</t>
  </si>
  <si>
    <t>Discount</t>
  </si>
  <si>
    <t>NPV</t>
  </si>
  <si>
    <t>Share</t>
  </si>
  <si>
    <t>Consensus</t>
  </si>
  <si>
    <t>ROC</t>
  </si>
  <si>
    <t>Net Cash</t>
  </si>
  <si>
    <t>CNBU</t>
  </si>
  <si>
    <t>SBU</t>
  </si>
  <si>
    <t>MBU</t>
  </si>
  <si>
    <t>EBU</t>
  </si>
  <si>
    <t>Stock Price</t>
  </si>
  <si>
    <t>Headcount</t>
  </si>
  <si>
    <t>Crucial</t>
  </si>
  <si>
    <t>1-gamma</t>
  </si>
  <si>
    <t>first node incorporating EUV</t>
  </si>
  <si>
    <t>1-beta</t>
  </si>
  <si>
    <t>majority of production was on 1-beta</t>
  </si>
  <si>
    <t>HBM are 3D-stacked DRAM with through-silicon via (TSV) connections</t>
  </si>
  <si>
    <t>low-lower</t>
  </si>
  <si>
    <t>double-data rate</t>
  </si>
  <si>
    <t>DRAM, NAND, and 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</si>
</sst>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9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4" fontId="1" fillId="0" borderId="0" xfId="0" applyNumberFormat="1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6A51B30-E201-47F6-8DBB-C49C069FCA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Model!$AP$2:$BH$2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Model!$AP$105:$BH$105</c:f>
              <c:numCache>
                <c:formatCode>General</c:formatCode>
                <c:ptCount val="19"/>
                <c:pt idx="0">
                  <c:v>13.96</c:v>
                </c:pt>
                <c:pt idx="1">
                  <c:v>7.25</c:v>
                </c:pt>
                <c:pt idx="2">
                  <c:v>2.64</c:v>
                </c:pt>
                <c:pt idx="3">
                  <c:v>10.56</c:v>
                </c:pt>
                <c:pt idx="4">
                  <c:v>8.02</c:v>
                </c:pt>
                <c:pt idx="5">
                  <c:v>6.29</c:v>
                </c:pt>
                <c:pt idx="6">
                  <c:v>6.34</c:v>
                </c:pt>
                <c:pt idx="7">
                  <c:v>21.75</c:v>
                </c:pt>
                <c:pt idx="8">
                  <c:v>35.01</c:v>
                </c:pt>
                <c:pt idx="9">
                  <c:v>14.16</c:v>
                </c:pt>
                <c:pt idx="10">
                  <c:v>21.92</c:v>
                </c:pt>
                <c:pt idx="11">
                  <c:v>41.12</c:v>
                </c:pt>
                <c:pt idx="12">
                  <c:v>31.73</c:v>
                </c:pt>
                <c:pt idx="13">
                  <c:v>53.78</c:v>
                </c:pt>
                <c:pt idx="14">
                  <c:v>75.180000000000007</c:v>
                </c:pt>
                <c:pt idx="15">
                  <c:v>93.15</c:v>
                </c:pt>
                <c:pt idx="16">
                  <c:v>49.98</c:v>
                </c:pt>
                <c:pt idx="17" formatCode="#,##0.00">
                  <c:v>85.34</c:v>
                </c:pt>
                <c:pt idx="18" formatCode="#,##0.0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9199"/>
        <c:axId val="1561035839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Model!$AP$2:$BH$2</c:f>
              <c:numCache>
                <c:formatCode>m/d/yy;@</c:formatCode>
                <c:ptCount val="19"/>
                <c:pt idx="0">
                  <c:v>38963</c:v>
                </c:pt>
                <c:pt idx="1">
                  <c:v>39328</c:v>
                </c:pt>
                <c:pt idx="2">
                  <c:v>39693</c:v>
                </c:pt>
                <c:pt idx="3">
                  <c:v>40058</c:v>
                </c:pt>
                <c:pt idx="4">
                  <c:v>40423</c:v>
                </c:pt>
                <c:pt idx="5">
                  <c:v>40788</c:v>
                </c:pt>
                <c:pt idx="6">
                  <c:v>41153</c:v>
                </c:pt>
                <c:pt idx="7">
                  <c:v>41518</c:v>
                </c:pt>
                <c:pt idx="8">
                  <c:v>41883</c:v>
                </c:pt>
                <c:pt idx="9">
                  <c:v>42248</c:v>
                </c:pt>
                <c:pt idx="10">
                  <c:v>42613</c:v>
                </c:pt>
                <c:pt idx="11">
                  <c:v>42978</c:v>
                </c:pt>
                <c:pt idx="12">
                  <c:v>43342</c:v>
                </c:pt>
                <c:pt idx="13">
                  <c:v>43706</c:v>
                </c:pt>
                <c:pt idx="14">
                  <c:v>44076</c:v>
                </c:pt>
                <c:pt idx="15">
                  <c:v>44441</c:v>
                </c:pt>
                <c:pt idx="16">
                  <c:v>44805</c:v>
                </c:pt>
                <c:pt idx="17">
                  <c:v>45169</c:v>
                </c:pt>
                <c:pt idx="18">
                  <c:v>45533</c:v>
                </c:pt>
              </c:numCache>
            </c:numRef>
          </c:cat>
          <c:val>
            <c:numRef>
              <c:f>Model!$AP$96:$BH$96</c:f>
              <c:numCache>
                <c:formatCode>#,##0</c:formatCode>
                <c:ptCount val="19"/>
                <c:pt idx="0">
                  <c:v>654</c:v>
                </c:pt>
                <c:pt idx="1">
                  <c:v>-2666</c:v>
                </c:pt>
                <c:pt idx="2">
                  <c:v>-1511</c:v>
                </c:pt>
                <c:pt idx="3">
                  <c:v>718</c:v>
                </c:pt>
                <c:pt idx="4">
                  <c:v>2480</c:v>
                </c:pt>
                <c:pt idx="5">
                  <c:v>-66</c:v>
                </c:pt>
                <c:pt idx="6">
                  <c:v>415</c:v>
                </c:pt>
                <c:pt idx="7">
                  <c:v>369</c:v>
                </c:pt>
                <c:pt idx="8">
                  <c:v>2592</c:v>
                </c:pt>
                <c:pt idx="9">
                  <c:v>1187</c:v>
                </c:pt>
                <c:pt idx="10">
                  <c:v>-2649</c:v>
                </c:pt>
                <c:pt idx="11">
                  <c:v>3419</c:v>
                </c:pt>
                <c:pt idx="12">
                  <c:v>8521</c:v>
                </c:pt>
                <c:pt idx="13">
                  <c:v>3409</c:v>
                </c:pt>
                <c:pt idx="14">
                  <c:v>83</c:v>
                </c:pt>
                <c:pt idx="15">
                  <c:v>2438</c:v>
                </c:pt>
                <c:pt idx="16">
                  <c:v>3114</c:v>
                </c:pt>
                <c:pt idx="17">
                  <c:v>-6117</c:v>
                </c:pt>
                <c:pt idx="18">
                  <c:v>-164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8-4BB0-8C6C-E808DC9E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032479"/>
        <c:axId val="1561041119"/>
      </c:lineChart>
      <c:dateAx>
        <c:axId val="1561039199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5839"/>
        <c:crosses val="autoZero"/>
        <c:auto val="1"/>
        <c:lblOffset val="100"/>
        <c:baseTimeUnit val="months"/>
      </c:dateAx>
      <c:valAx>
        <c:axId val="156103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9199"/>
        <c:crosses val="autoZero"/>
        <c:crossBetween val="between"/>
      </c:valAx>
      <c:valAx>
        <c:axId val="15610411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2479"/>
        <c:crosses val="max"/>
        <c:crossBetween val="between"/>
      </c:valAx>
      <c:dateAx>
        <c:axId val="1561032479"/>
        <c:scaling>
          <c:orientation val="minMax"/>
        </c:scaling>
        <c:delete val="1"/>
        <c:axPos val="b"/>
        <c:numFmt formatCode="m/d/yy;@" sourceLinked="1"/>
        <c:majorTickMark val="out"/>
        <c:minorTickMark val="none"/>
        <c:tickLblPos val="nextTo"/>
        <c:crossAx val="15610411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Model!$AL$2:$BH$2</c:f>
              <c:numCache>
                <c:formatCode>m/d/yy;@</c:formatCode>
                <c:ptCount val="23"/>
                <c:pt idx="0">
                  <c:v>37503</c:v>
                </c:pt>
                <c:pt idx="1">
                  <c:v>37868</c:v>
                </c:pt>
                <c:pt idx="2">
                  <c:v>38233</c:v>
                </c:pt>
                <c:pt idx="3">
                  <c:v>38598</c:v>
                </c:pt>
                <c:pt idx="4">
                  <c:v>38963</c:v>
                </c:pt>
                <c:pt idx="5">
                  <c:v>39328</c:v>
                </c:pt>
                <c:pt idx="6">
                  <c:v>39693</c:v>
                </c:pt>
                <c:pt idx="7">
                  <c:v>40058</c:v>
                </c:pt>
                <c:pt idx="8">
                  <c:v>40423</c:v>
                </c:pt>
                <c:pt idx="9">
                  <c:v>40788</c:v>
                </c:pt>
                <c:pt idx="10">
                  <c:v>41153</c:v>
                </c:pt>
                <c:pt idx="11">
                  <c:v>41518</c:v>
                </c:pt>
                <c:pt idx="12">
                  <c:v>41883</c:v>
                </c:pt>
                <c:pt idx="13">
                  <c:v>42248</c:v>
                </c:pt>
                <c:pt idx="14">
                  <c:v>42613</c:v>
                </c:pt>
                <c:pt idx="15">
                  <c:v>42978</c:v>
                </c:pt>
                <c:pt idx="16">
                  <c:v>43342</c:v>
                </c:pt>
                <c:pt idx="17">
                  <c:v>43706</c:v>
                </c:pt>
                <c:pt idx="18">
                  <c:v>44076</c:v>
                </c:pt>
                <c:pt idx="19">
                  <c:v>44441</c:v>
                </c:pt>
                <c:pt idx="20">
                  <c:v>44805</c:v>
                </c:pt>
                <c:pt idx="21">
                  <c:v>45169</c:v>
                </c:pt>
                <c:pt idx="22">
                  <c:v>45533</c:v>
                </c:pt>
              </c:numCache>
            </c:numRef>
          </c:cat>
          <c:val>
            <c:numRef>
              <c:f>Model!$AL$107:$BH$107</c:f>
              <c:numCache>
                <c:formatCode>#,##0</c:formatCode>
                <c:ptCount val="23"/>
                <c:pt idx="0">
                  <c:v>265.81108829568785</c:v>
                </c:pt>
                <c:pt idx="1">
                  <c:v>229.47290274684482</c:v>
                </c:pt>
                <c:pt idx="2">
                  <c:v>356.59919028340084</c:v>
                </c:pt>
                <c:pt idx="3">
                  <c:v>366.64162283996995</c:v>
                </c:pt>
                <c:pt idx="4">
                  <c:v>377.65042979942689</c:v>
                </c:pt>
                <c:pt idx="5">
                  <c:v>784.55172413793105</c:v>
                </c:pt>
                <c:pt idx="6">
                  <c:v>2212.5</c:v>
                </c:pt>
                <c:pt idx="7">
                  <c:v>454.82954545454544</c:v>
                </c:pt>
                <c:pt idx="8">
                  <c:v>1057.6059850374065</c:v>
                </c:pt>
                <c:pt idx="9">
                  <c:v>1397.1383147853735</c:v>
                </c:pt>
                <c:pt idx="10">
                  <c:v>1298.7381703470032</c:v>
                </c:pt>
                <c:pt idx="11">
                  <c:v>417.14942528735634</c:v>
                </c:pt>
                <c:pt idx="12">
                  <c:v>467.23793201942306</c:v>
                </c:pt>
                <c:pt idx="13">
                  <c:v>1143.5028248587571</c:v>
                </c:pt>
                <c:pt idx="14">
                  <c:v>565.64781021897807</c:v>
                </c:pt>
                <c:pt idx="15">
                  <c:v>494.21206225680936</c:v>
                </c:pt>
                <c:pt idx="16">
                  <c:v>957.80018909549324</c:v>
                </c:pt>
                <c:pt idx="17">
                  <c:v>435.21755299367794</c:v>
                </c:pt>
                <c:pt idx="18">
                  <c:v>285.11572226656023</c:v>
                </c:pt>
                <c:pt idx="19">
                  <c:v>297.42351046698872</c:v>
                </c:pt>
                <c:pt idx="20">
                  <c:v>615.40616246498598</c:v>
                </c:pt>
                <c:pt idx="21">
                  <c:v>182.09514881649869</c:v>
                </c:pt>
                <c:pt idx="22">
                  <c:v>279.01111111111112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7-42C1-A4CA-FBE70475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746895"/>
        <c:axId val="550749775"/>
      </c:lineChart>
      <c:dateAx>
        <c:axId val="550746895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9775"/>
        <c:crosses val="autoZero"/>
        <c:auto val="1"/>
        <c:lblOffset val="100"/>
        <c:baseTimeUnit val="months"/>
      </c:dateAx>
      <c:valAx>
        <c:axId val="5507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4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30035</xdr:colOff>
      <xdr:row>0</xdr:row>
      <xdr:rowOff>0</xdr:rowOff>
    </xdr:from>
    <xdr:to>
      <xdr:col>20</xdr:col>
      <xdr:colOff>30035</xdr:colOff>
      <xdr:row>125</xdr:row>
      <xdr:rowOff>7937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9379AA-F50B-4C2A-4EAF-5C5B161BD2A2}"/>
            </a:ext>
          </a:extLst>
        </xdr:cNvPr>
        <xdr:cNvCxnSpPr/>
      </xdr:nvCxnSpPr>
      <xdr:spPr>
        <a:xfrm>
          <a:off x="13031660" y="0"/>
          <a:ext cx="0" cy="18081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302950</xdr:colOff>
      <xdr:row>108</xdr:row>
      <xdr:rowOff>5376</xdr:rowOff>
    </xdr:from>
    <xdr:to>
      <xdr:col>58</xdr:col>
      <xdr:colOff>109944</xdr:colOff>
      <xdr:row>128</xdr:row>
      <xdr:rowOff>74852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995BE0-AEE6-A331-8B22-03AF3A84B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164855</xdr:colOff>
      <xdr:row>110</xdr:row>
      <xdr:rowOff>21986</xdr:rowOff>
    </xdr:from>
    <xdr:to>
      <xdr:col>46</xdr:col>
      <xdr:colOff>479913</xdr:colOff>
      <xdr:row>127</xdr:row>
      <xdr:rowOff>24917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15C6C5-3D47-B95E-287A-65FE1B51E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55562</xdr:colOff>
      <xdr:row>0</xdr:row>
      <xdr:rowOff>0</xdr:rowOff>
    </xdr:from>
    <xdr:to>
      <xdr:col>61</xdr:col>
      <xdr:colOff>55562</xdr:colOff>
      <xdr:row>59</xdr:row>
      <xdr:rowOff>151423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8C9A1A-E082-EA61-3159-6F695B4AE2E0}"/>
            </a:ext>
          </a:extLst>
        </xdr:cNvPr>
        <xdr:cNvCxnSpPr/>
      </xdr:nvCxnSpPr>
      <xdr:spPr>
        <a:xfrm>
          <a:off x="38096947" y="0"/>
          <a:ext cx="0" cy="85969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28FF62E-232B-4089-B24E-2DC7EF6F1249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3" dT="2026-07-11T21:33:57.60" personId="{628FF62E-232B-4089-B24E-2DC7EF6F1249}" id="{6A4143ED-26E9-4411-9286-9237FAFF0E88}">
    <text>Cloud Memory</text>
  </threadedComment>
  <threadedComment ref="B24" dT="2026-07-11T21:34:09.52" personId="{628FF62E-232B-4089-B24E-2DC7EF6F1249}" id="{3008C551-30A5-46FF-B334-8C2B5CB8A471}">
    <text>Core Data Center</text>
  </threadedComment>
  <threadedComment ref="B25" dT="2026-07-11T21:34:18.11" personId="{628FF62E-232B-4089-B24E-2DC7EF6F1249}" id="{F798A0F5-A887-4724-BC4E-5E9C410B72F3}">
    <text>Mobile &amp; Client</text>
  </threadedComment>
  <threadedComment ref="B26" dT="2026-07-11T21:34:27.71" personId="{628FF62E-232B-4089-B24E-2DC7EF6F1249}" id="{C2C56BEE-B08A-44C4-854B-7CF5BE0F99D5}">
    <text>Automotive &amp; Embedded</text>
  </threadedComment>
  <threadedComment ref="L30" dT="2024-09-19T15:45:24.58" personId="{628FF62E-232B-4089-B24E-2DC7EF6F1249}" id="{26F098AE-606C-469D-8EA5-E5734FC4346B}">
    <text>Q2 guidance: 6.6B</text>
  </threadedComment>
  <threadedComment ref="S30" dT="2026-07-04T14:18:57.09" personId="{628FF62E-232B-4089-B24E-2DC7EF6F1249}" id="{A2CA7513-EFA4-44DE-A320-E3BC81A442B0}">
    <text>Q126 guidance: 18.7B</text>
  </threadedComment>
  <threadedComment ref="T30" dT="2026-07-04T14:26:55.83" personId="{628FF62E-232B-4089-B24E-2DC7EF6F1249}" id="{B24314FC-4A9F-4AFD-A94C-83129BD06448}">
    <text>Q2 guidance: 33.5B+-750m</text>
  </threadedComment>
  <threadedComment ref="BJ30" dT="2026-07-04T15:32:27.53" personId="{628FF62E-232B-4089-B24E-2DC7EF6F1249}" id="{9815DEC1-22DA-48EA-864F-C2F08422960A}">
    <text>DRAM low-mid +20% bit shipments</text>
  </threadedComment>
  <threadedComment ref="BJ46" dT="2026-07-11T14:15:51.03" personId="{628FF62E-232B-4089-B24E-2DC7EF6F1249}" id="{4B23F65F-968B-4BE7-8C55-5F91671872B8}">
    <text>7/11/26 consensus: 73.14</text>
  </threadedComment>
  <threadedComment ref="BK46" dT="2026-07-11T14:16:06.74" personId="{628FF62E-232B-4089-B24E-2DC7EF6F1249}" id="{816B86D6-80F2-414F-B7D3-5F469703BD5F}">
    <text>7/11/26 consensus: 152.57</text>
  </threadedComment>
  <threadedComment ref="BL46" dT="2026-07-11T14:16:22.27" personId="{628FF62E-232B-4089-B24E-2DC7EF6F1249}" id="{554E7526-D021-45FD-9708-807F1FB6EF62}">
    <text>7/11/28 consensus: 104.50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B3D3-F24B-4B90-87C3-03D13C01C91B}">
  <dimension ref="B2:K27"/>
  <sheetViews>
    <sheetView zoomScale="145" zoomScaleNormal="145" workbookViewId="0">
      <selection activeCell="B3" sqref="B3"/>
    </sheetView>
  </sheetViews>
  <sheetFormatPr defaultRowHeight="12.5" x14ac:dyDescent="0.25"/>
  <cols>
    <col min="2" max="2" width="10.08984375" customWidth="1"/>
    <col min="3" max="3" width="10.90625" customWidth="1"/>
  </cols>
  <sheetData>
    <row r="2" spans="2:11" x14ac:dyDescent="0.25">
      <c r="B2" s="16" t="s">
        <v>228</v>
      </c>
      <c r="I2" t="s">
        <v>0</v>
      </c>
      <c r="J2" s="1">
        <v>950</v>
      </c>
    </row>
    <row r="3" spans="2:11" x14ac:dyDescent="0.25">
      <c r="B3" t="s">
        <v>105</v>
      </c>
      <c r="F3" t="s">
        <v>220</v>
      </c>
      <c r="I3" t="s">
        <v>1</v>
      </c>
      <c r="J3" s="2">
        <v>1145</v>
      </c>
      <c r="K3" s="3" t="s">
        <v>150</v>
      </c>
    </row>
    <row r="4" spans="2:11" x14ac:dyDescent="0.25">
      <c r="C4" t="s">
        <v>106</v>
      </c>
      <c r="I4" t="s">
        <v>2</v>
      </c>
      <c r="J4" s="2">
        <f>+J2*J3</f>
        <v>1087750</v>
      </c>
    </row>
    <row r="5" spans="2:11" x14ac:dyDescent="0.25">
      <c r="C5" t="s">
        <v>108</v>
      </c>
      <c r="E5" t="s">
        <v>226</v>
      </c>
      <c r="I5" t="s">
        <v>3</v>
      </c>
      <c r="J5" s="2">
        <v>31025</v>
      </c>
      <c r="K5" s="3" t="s">
        <v>150</v>
      </c>
    </row>
    <row r="6" spans="2:11" x14ac:dyDescent="0.25">
      <c r="C6" t="s">
        <v>187</v>
      </c>
      <c r="I6" t="s">
        <v>4</v>
      </c>
      <c r="J6" s="2">
        <v>5722</v>
      </c>
      <c r="K6" s="3" t="s">
        <v>150</v>
      </c>
    </row>
    <row r="7" spans="2:11" x14ac:dyDescent="0.25">
      <c r="C7" t="s">
        <v>107</v>
      </c>
      <c r="E7" t="s">
        <v>227</v>
      </c>
      <c r="I7" t="s">
        <v>5</v>
      </c>
      <c r="J7" s="2">
        <f>+J4-J5+J6</f>
        <v>1062447</v>
      </c>
    </row>
    <row r="8" spans="2:11" x14ac:dyDescent="0.25">
      <c r="C8" t="s">
        <v>186</v>
      </c>
    </row>
    <row r="9" spans="2:11" x14ac:dyDescent="0.25">
      <c r="C9" t="s">
        <v>184</v>
      </c>
      <c r="I9" t="s">
        <v>103</v>
      </c>
    </row>
    <row r="10" spans="2:11" x14ac:dyDescent="0.25">
      <c r="C10" t="s">
        <v>185</v>
      </c>
      <c r="I10" t="s">
        <v>104</v>
      </c>
    </row>
    <row r="11" spans="2:11" x14ac:dyDescent="0.25">
      <c r="D11" t="s">
        <v>225</v>
      </c>
      <c r="I11" t="s">
        <v>175</v>
      </c>
    </row>
    <row r="12" spans="2:11" x14ac:dyDescent="0.25">
      <c r="B12" t="s">
        <v>109</v>
      </c>
    </row>
    <row r="13" spans="2:11" x14ac:dyDescent="0.25">
      <c r="B13" t="s">
        <v>182</v>
      </c>
    </row>
    <row r="15" spans="2:11" x14ac:dyDescent="0.25">
      <c r="B15" t="s">
        <v>188</v>
      </c>
    </row>
    <row r="16" spans="2:11" x14ac:dyDescent="0.25">
      <c r="C16" t="s">
        <v>189</v>
      </c>
    </row>
    <row r="17" spans="2:9" x14ac:dyDescent="0.25">
      <c r="B17" t="s">
        <v>221</v>
      </c>
    </row>
    <row r="18" spans="2:9" x14ac:dyDescent="0.25">
      <c r="C18" t="s">
        <v>222</v>
      </c>
      <c r="I18" t="s">
        <v>183</v>
      </c>
    </row>
    <row r="19" spans="2:9" x14ac:dyDescent="0.25">
      <c r="B19" t="s">
        <v>223</v>
      </c>
    </row>
    <row r="20" spans="2:9" x14ac:dyDescent="0.25">
      <c r="C20" t="s">
        <v>224</v>
      </c>
    </row>
    <row r="22" spans="2:9" x14ac:dyDescent="0.25">
      <c r="B22" t="s">
        <v>190</v>
      </c>
      <c r="C22" t="s">
        <v>192</v>
      </c>
      <c r="D22" t="s">
        <v>199</v>
      </c>
    </row>
    <row r="23" spans="2:9" x14ac:dyDescent="0.25">
      <c r="B23" t="s">
        <v>191</v>
      </c>
      <c r="C23" t="s">
        <v>192</v>
      </c>
      <c r="D23" t="s">
        <v>200</v>
      </c>
    </row>
    <row r="24" spans="2:9" x14ac:dyDescent="0.25">
      <c r="B24" t="s">
        <v>193</v>
      </c>
      <c r="C24" t="s">
        <v>194</v>
      </c>
      <c r="D24" t="s">
        <v>195</v>
      </c>
    </row>
    <row r="25" spans="2:9" x14ac:dyDescent="0.25">
      <c r="B25" t="s">
        <v>196</v>
      </c>
      <c r="C25" t="s">
        <v>198</v>
      </c>
      <c r="D25" t="s">
        <v>197</v>
      </c>
    </row>
    <row r="26" spans="2:9" x14ac:dyDescent="0.25">
      <c r="B26" t="s">
        <v>201</v>
      </c>
      <c r="C26" t="s">
        <v>202</v>
      </c>
      <c r="D26" t="s">
        <v>203</v>
      </c>
    </row>
    <row r="27" spans="2:9" x14ac:dyDescent="0.25">
      <c r="B27" t="s">
        <v>204</v>
      </c>
      <c r="C27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ECE1-E2C2-4F5D-AB90-79F4AAA15D0A}">
  <dimension ref="A1:DH110"/>
  <sheetViews>
    <sheetView tabSelected="1" zoomScale="115" zoomScaleNormal="115" workbookViewId="0">
      <pane xSplit="2" ySplit="3" topLeftCell="C70" activePane="bottomRight" state="frozen"/>
      <selection pane="topRight" activeCell="C1" sqref="C1"/>
      <selection pane="bottomLeft" activeCell="A3" sqref="A3"/>
      <selection pane="bottomRight" activeCell="I74" sqref="I74"/>
    </sheetView>
  </sheetViews>
  <sheetFormatPr defaultRowHeight="12.5" x14ac:dyDescent="0.25"/>
  <cols>
    <col min="1" max="1" width="5" bestFit="1" customWidth="1"/>
    <col min="2" max="2" width="18.1796875" bestFit="1" customWidth="1"/>
    <col min="3" max="14" width="9.1796875" style="3"/>
    <col min="52" max="52" width="9.1796875" style="3"/>
    <col min="60" max="60" width="8.81640625" bestFit="1" customWidth="1"/>
    <col min="61" max="61" width="8.90625" bestFit="1" customWidth="1"/>
    <col min="72" max="72" width="9.453125" customWidth="1"/>
    <col min="73" max="73" width="9" bestFit="1" customWidth="1"/>
  </cols>
  <sheetData>
    <row r="1" spans="1:104" x14ac:dyDescent="0.25">
      <c r="A1" s="11" t="s">
        <v>6</v>
      </c>
    </row>
    <row r="2" spans="1:104" s="4" customFormat="1" x14ac:dyDescent="0.25">
      <c r="C2" s="5"/>
      <c r="D2" s="5"/>
      <c r="E2" s="5">
        <v>44805</v>
      </c>
      <c r="F2" s="5">
        <v>44896</v>
      </c>
      <c r="G2" s="5">
        <v>44987</v>
      </c>
      <c r="H2" s="5">
        <v>45078</v>
      </c>
      <c r="I2" s="5">
        <v>45169</v>
      </c>
      <c r="J2" s="5">
        <v>45260</v>
      </c>
      <c r="K2" s="5">
        <v>45351</v>
      </c>
      <c r="L2" s="5">
        <v>45442</v>
      </c>
      <c r="M2" s="5">
        <f>+I2+366</f>
        <v>45535</v>
      </c>
      <c r="N2" s="5">
        <v>45624</v>
      </c>
      <c r="O2" s="4">
        <v>45715</v>
      </c>
      <c r="P2" s="4">
        <f>+L2+365</f>
        <v>45807</v>
      </c>
      <c r="Q2" s="4">
        <v>45897</v>
      </c>
      <c r="R2" s="4">
        <v>45988</v>
      </c>
      <c r="S2" s="4">
        <v>46079</v>
      </c>
      <c r="T2" s="4">
        <f>+P2+365</f>
        <v>46172</v>
      </c>
      <c r="U2" s="4">
        <f>+Q2+365</f>
        <v>46262</v>
      </c>
      <c r="V2" s="4">
        <f t="shared" ref="V2:Y2" si="0">+R2+365</f>
        <v>46353</v>
      </c>
      <c r="W2" s="4">
        <f t="shared" si="0"/>
        <v>46444</v>
      </c>
      <c r="X2" s="4">
        <f t="shared" si="0"/>
        <v>46537</v>
      </c>
      <c r="Y2" s="4">
        <f t="shared" si="0"/>
        <v>46627</v>
      </c>
      <c r="AE2" s="4">
        <f t="shared" ref="AE2:AG2" si="1">+AF2-365</f>
        <v>34948</v>
      </c>
      <c r="AF2" s="4">
        <f t="shared" si="1"/>
        <v>35313</v>
      </c>
      <c r="AG2" s="4">
        <f t="shared" si="1"/>
        <v>35678</v>
      </c>
      <c r="AH2" s="4">
        <f t="shared" ref="AH2:AK2" si="2">+AI2-365</f>
        <v>36043</v>
      </c>
      <c r="AI2" s="4">
        <f t="shared" si="2"/>
        <v>36408</v>
      </c>
      <c r="AJ2" s="4">
        <f t="shared" si="2"/>
        <v>36773</v>
      </c>
      <c r="AK2" s="4">
        <f t="shared" si="2"/>
        <v>37138</v>
      </c>
      <c r="AL2" s="4">
        <f t="shared" ref="AL2:AT2" si="3">+AM2-365</f>
        <v>37503</v>
      </c>
      <c r="AM2" s="4">
        <f t="shared" si="3"/>
        <v>37868</v>
      </c>
      <c r="AN2" s="4">
        <f t="shared" si="3"/>
        <v>38233</v>
      </c>
      <c r="AO2" s="4">
        <f t="shared" si="3"/>
        <v>38598</v>
      </c>
      <c r="AP2" s="4">
        <f t="shared" si="3"/>
        <v>38963</v>
      </c>
      <c r="AQ2" s="4">
        <f t="shared" si="3"/>
        <v>39328</v>
      </c>
      <c r="AR2" s="4">
        <f t="shared" si="3"/>
        <v>39693</v>
      </c>
      <c r="AS2" s="4">
        <f t="shared" si="3"/>
        <v>40058</v>
      </c>
      <c r="AT2" s="4">
        <f t="shared" si="3"/>
        <v>40423</v>
      </c>
      <c r="AU2" s="5">
        <f t="shared" ref="AU2:AW2" si="4">+AV2-365</f>
        <v>40788</v>
      </c>
      <c r="AV2" s="5">
        <f t="shared" si="4"/>
        <v>41153</v>
      </c>
      <c r="AW2" s="5">
        <f t="shared" si="4"/>
        <v>41518</v>
      </c>
      <c r="AX2" s="5">
        <f t="shared" ref="AX2:AY2" si="5">+AY2-365</f>
        <v>41883</v>
      </c>
      <c r="AY2" s="5">
        <f t="shared" si="5"/>
        <v>42248</v>
      </c>
      <c r="AZ2" s="5">
        <f>+BA2-365</f>
        <v>42613</v>
      </c>
      <c r="BA2" s="4">
        <v>42978</v>
      </c>
      <c r="BB2" s="4">
        <v>43342</v>
      </c>
      <c r="BC2" s="4">
        <v>43706</v>
      </c>
      <c r="BD2" s="4">
        <f>+BE2-365</f>
        <v>44076</v>
      </c>
      <c r="BE2" s="4">
        <v>44441</v>
      </c>
      <c r="BF2" s="4">
        <v>44805</v>
      </c>
      <c r="BG2" s="4">
        <v>45169</v>
      </c>
      <c r="BH2" s="4">
        <v>45533</v>
      </c>
      <c r="BI2" s="4">
        <v>45897</v>
      </c>
      <c r="BJ2" s="4">
        <f>+BI2+365</f>
        <v>46262</v>
      </c>
      <c r="BK2" s="4">
        <f>+BJ2+365</f>
        <v>46627</v>
      </c>
    </row>
    <row r="3" spans="1:104" x14ac:dyDescent="0.25">
      <c r="E3" s="3" t="s">
        <v>33</v>
      </c>
      <c r="F3" s="3" t="s">
        <v>25</v>
      </c>
      <c r="G3" s="3" t="s">
        <v>24</v>
      </c>
      <c r="H3" s="3" t="s">
        <v>23</v>
      </c>
      <c r="I3" s="3" t="s">
        <v>22</v>
      </c>
      <c r="J3" s="3" t="s">
        <v>21</v>
      </c>
      <c r="K3" s="3" t="s">
        <v>20</v>
      </c>
      <c r="L3" s="3" t="s">
        <v>19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146</v>
      </c>
      <c r="S3" s="3" t="s">
        <v>147</v>
      </c>
      <c r="T3" s="3" t="s">
        <v>148</v>
      </c>
      <c r="U3" s="3" t="s">
        <v>149</v>
      </c>
      <c r="V3" s="3" t="s">
        <v>151</v>
      </c>
      <c r="W3" s="3" t="s">
        <v>152</v>
      </c>
      <c r="X3" s="3" t="s">
        <v>153</v>
      </c>
      <c r="Y3" s="3" t="s">
        <v>154</v>
      </c>
      <c r="Z3" s="3"/>
      <c r="AA3" s="3" t="s">
        <v>142</v>
      </c>
      <c r="AB3" s="3" t="s">
        <v>141</v>
      </c>
      <c r="AC3" s="3" t="s">
        <v>140</v>
      </c>
      <c r="AD3" s="3" t="s">
        <v>139</v>
      </c>
      <c r="AE3" s="3" t="s">
        <v>138</v>
      </c>
      <c r="AF3" s="3" t="s">
        <v>137</v>
      </c>
      <c r="AG3" s="3" t="s">
        <v>136</v>
      </c>
      <c r="AH3" s="3" t="s">
        <v>135</v>
      </c>
      <c r="AI3" s="3" t="s">
        <v>134</v>
      </c>
      <c r="AJ3" s="3" t="s">
        <v>133</v>
      </c>
      <c r="AK3" s="3" t="s">
        <v>132</v>
      </c>
      <c r="AL3" s="3" t="s">
        <v>130</v>
      </c>
      <c r="AM3" s="3" t="s">
        <v>131</v>
      </c>
      <c r="AN3" s="3" t="s">
        <v>129</v>
      </c>
      <c r="AO3" s="3" t="s">
        <v>128</v>
      </c>
      <c r="AP3" s="3" t="s">
        <v>127</v>
      </c>
      <c r="AQ3" s="3" t="s">
        <v>126</v>
      </c>
      <c r="AR3" s="3" t="s">
        <v>125</v>
      </c>
      <c r="AS3" s="3" t="s">
        <v>124</v>
      </c>
      <c r="AT3" s="3" t="s">
        <v>123</v>
      </c>
      <c r="AU3" s="3" t="s">
        <v>122</v>
      </c>
      <c r="AV3" s="3" t="s">
        <v>121</v>
      </c>
      <c r="AW3" s="3" t="s">
        <v>120</v>
      </c>
      <c r="AX3" s="3" t="s">
        <v>119</v>
      </c>
      <c r="AY3" s="3" t="s">
        <v>118</v>
      </c>
      <c r="AZ3" s="3" t="s">
        <v>117</v>
      </c>
      <c r="BA3" s="3" t="s">
        <v>115</v>
      </c>
      <c r="BB3" s="3" t="s">
        <v>102</v>
      </c>
      <c r="BC3" s="3" t="s">
        <v>101</v>
      </c>
      <c r="BD3" s="3" t="s">
        <v>100</v>
      </c>
      <c r="BE3" s="3" t="s">
        <v>99</v>
      </c>
      <c r="BF3" s="3" t="s">
        <v>52</v>
      </c>
      <c r="BG3" s="3" t="s">
        <v>53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58</v>
      </c>
      <c r="BM3" s="3" t="s">
        <v>59</v>
      </c>
      <c r="BN3" s="3" t="s">
        <v>60</v>
      </c>
      <c r="BO3" s="3" t="s">
        <v>61</v>
      </c>
      <c r="BP3" s="3" t="s">
        <v>62</v>
      </c>
      <c r="BQ3" s="3" t="s">
        <v>63</v>
      </c>
      <c r="BR3" s="3" t="s">
        <v>64</v>
      </c>
      <c r="BS3" s="3" t="s">
        <v>65</v>
      </c>
      <c r="BT3" s="3" t="s">
        <v>66</v>
      </c>
      <c r="BU3" s="3" t="s">
        <v>67</v>
      </c>
      <c r="BV3" s="3" t="s">
        <v>68</v>
      </c>
      <c r="BW3" s="3" t="s">
        <v>69</v>
      </c>
      <c r="BX3" s="3" t="s">
        <v>70</v>
      </c>
      <c r="BY3" s="3" t="s">
        <v>71</v>
      </c>
      <c r="BZ3" s="3" t="s">
        <v>72</v>
      </c>
      <c r="CA3" s="3" t="s">
        <v>73</v>
      </c>
      <c r="CB3" s="3" t="s">
        <v>74</v>
      </c>
      <c r="CC3" s="3" t="s">
        <v>75</v>
      </c>
      <c r="CD3" s="3" t="s">
        <v>76</v>
      </c>
      <c r="CE3" s="3" t="s">
        <v>77</v>
      </c>
      <c r="CF3" s="3" t="s">
        <v>78</v>
      </c>
      <c r="CG3" s="3" t="s">
        <v>79</v>
      </c>
      <c r="CH3" s="3" t="s">
        <v>80</v>
      </c>
      <c r="CI3" s="3" t="s">
        <v>81</v>
      </c>
      <c r="CJ3" s="3" t="s">
        <v>82</v>
      </c>
      <c r="CK3" s="3" t="s">
        <v>83</v>
      </c>
      <c r="CL3" s="3" t="s">
        <v>84</v>
      </c>
      <c r="CM3" s="3" t="s">
        <v>85</v>
      </c>
      <c r="CN3" s="3" t="s">
        <v>86</v>
      </c>
      <c r="CO3" s="3" t="s">
        <v>87</v>
      </c>
      <c r="CP3" s="3" t="s">
        <v>88</v>
      </c>
      <c r="CQ3" s="3" t="s">
        <v>89</v>
      </c>
      <c r="CR3" s="3" t="s">
        <v>90</v>
      </c>
      <c r="CS3" s="3" t="s">
        <v>91</v>
      </c>
      <c r="CT3" s="3" t="s">
        <v>92</v>
      </c>
      <c r="CU3" s="3" t="s">
        <v>93</v>
      </c>
      <c r="CV3" s="3" t="s">
        <v>94</v>
      </c>
      <c r="CW3" s="3" t="s">
        <v>95</v>
      </c>
      <c r="CX3" s="3" t="s">
        <v>96</v>
      </c>
      <c r="CY3" s="3" t="s">
        <v>97</v>
      </c>
      <c r="CZ3" s="3" t="s">
        <v>98</v>
      </c>
    </row>
    <row r="4" spans="1:104" x14ac:dyDescent="0.25">
      <c r="B4" t="s">
        <v>174</v>
      </c>
      <c r="O4" s="3"/>
      <c r="P4" s="3"/>
      <c r="Q4" s="3"/>
      <c r="R4" s="3"/>
      <c r="S4" s="3"/>
      <c r="T4" s="6">
        <v>50000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</row>
    <row r="5" spans="1:104" x14ac:dyDescent="0.25">
      <c r="B5" t="s">
        <v>169</v>
      </c>
      <c r="O5" s="6">
        <v>39331</v>
      </c>
      <c r="P5" s="6">
        <v>44062</v>
      </c>
      <c r="Q5" s="6">
        <v>46743</v>
      </c>
      <c r="R5" s="6">
        <v>57006</v>
      </c>
      <c r="S5" s="6">
        <v>68100</v>
      </c>
      <c r="T5" s="6">
        <v>81615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</row>
    <row r="6" spans="1:104" s="18" customFormat="1" ht="13" x14ac:dyDescent="0.3">
      <c r="B6" s="18" t="s">
        <v>173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0"/>
      <c r="P6" s="10">
        <f>+P8*0.15</f>
        <v>4979.9293945312502</v>
      </c>
      <c r="Q6" s="10"/>
      <c r="R6" s="10"/>
      <c r="S6" s="10">
        <f t="shared" ref="S6:T6" si="6">+S8*0.15</f>
        <v>10571.699999999999</v>
      </c>
      <c r="T6" s="10">
        <f t="shared" si="6"/>
        <v>18655.537402343751</v>
      </c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</row>
    <row r="7" spans="1:104" s="18" customFormat="1" ht="13" x14ac:dyDescent="0.3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0"/>
      <c r="P7" s="10"/>
      <c r="Q7" s="10"/>
      <c r="R7" s="10"/>
      <c r="S7" s="10"/>
      <c r="T7" s="10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</row>
    <row r="8" spans="1:104" s="18" customFormat="1" ht="13" x14ac:dyDescent="0.3">
      <c r="B8" s="18" t="s">
        <v>172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0"/>
      <c r="P8" s="10">
        <f>+P9+P10+P30</f>
        <v>33199.529296875</v>
      </c>
      <c r="Q8" s="10"/>
      <c r="R8" s="10"/>
      <c r="S8" s="10">
        <f>+S9+S10+S30</f>
        <v>70478</v>
      </c>
      <c r="T8" s="10">
        <f>+T9+T10+T30</f>
        <v>124370.24934895834</v>
      </c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</row>
    <row r="9" spans="1:104" x14ac:dyDescent="0.25">
      <c r="B9" t="s">
        <v>170</v>
      </c>
      <c r="O9" s="3"/>
      <c r="P9" s="6">
        <f>17639141/1536</f>
        <v>11483.815755208334</v>
      </c>
      <c r="Q9" s="3"/>
      <c r="R9" s="3"/>
      <c r="S9" s="6">
        <f>32827000/1500</f>
        <v>21884.666666666668</v>
      </c>
      <c r="T9" s="6">
        <f>52576287/1536</f>
        <v>34229.353515625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</row>
    <row r="10" spans="1:104" x14ac:dyDescent="0.25">
      <c r="B10" t="s">
        <v>171</v>
      </c>
      <c r="N10" s="6">
        <f>22300000/1500</f>
        <v>14866.666666666666</v>
      </c>
      <c r="O10" s="3"/>
      <c r="P10" s="6">
        <f>19069000/1536</f>
        <v>12414.713541666666</v>
      </c>
      <c r="Q10" s="6">
        <f>21200000/1500</f>
        <v>14133.333333333334</v>
      </c>
      <c r="R10" s="6">
        <f>26700000/1500</f>
        <v>17800</v>
      </c>
      <c r="S10" s="6">
        <f>37100000/1500</f>
        <v>24733.333333333332</v>
      </c>
      <c r="T10" s="6">
        <f>74780000/1536</f>
        <v>48684.895833333336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BA10" s="3"/>
      <c r="BB10" s="3"/>
      <c r="BC10" s="3"/>
      <c r="BD10" s="3"/>
      <c r="BE10" s="3"/>
      <c r="BF10" s="3"/>
      <c r="BG10" s="3"/>
      <c r="BH10" s="6">
        <v>844630</v>
      </c>
      <c r="BI10" s="6">
        <v>1040812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</row>
    <row r="11" spans="1:104" x14ac:dyDescent="0.25"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</row>
    <row r="12" spans="1:104" x14ac:dyDescent="0.25"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</row>
    <row r="13" spans="1:104" x14ac:dyDescent="0.25">
      <c r="B13" t="s">
        <v>181</v>
      </c>
      <c r="O13" s="3"/>
      <c r="P13" s="3"/>
      <c r="Q13" s="3"/>
      <c r="R13" s="3"/>
      <c r="S13" s="6">
        <v>2500</v>
      </c>
      <c r="T13" s="6">
        <v>5000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</row>
    <row r="14" spans="1:104" x14ac:dyDescent="0.25">
      <c r="B14" t="s">
        <v>105</v>
      </c>
      <c r="J14" s="6">
        <v>3427</v>
      </c>
      <c r="K14" s="6">
        <v>4158</v>
      </c>
      <c r="L14" s="6">
        <v>4692</v>
      </c>
      <c r="M14" s="6"/>
      <c r="N14" s="6">
        <v>6400</v>
      </c>
      <c r="O14" s="6">
        <v>6123</v>
      </c>
      <c r="P14" s="6">
        <v>7071</v>
      </c>
      <c r="Q14" s="6"/>
      <c r="R14" s="6"/>
      <c r="S14" s="6">
        <v>18768</v>
      </c>
      <c r="T14" s="6">
        <v>31328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</row>
    <row r="15" spans="1:104" x14ac:dyDescent="0.25">
      <c r="B15" t="s">
        <v>206</v>
      </c>
      <c r="J15" s="6">
        <v>1230</v>
      </c>
      <c r="K15" s="6">
        <v>1567</v>
      </c>
      <c r="L15" s="6">
        <v>2065</v>
      </c>
      <c r="M15" s="6"/>
      <c r="N15" s="6">
        <v>2241</v>
      </c>
      <c r="O15" s="6">
        <v>1855</v>
      </c>
      <c r="P15" s="6">
        <v>2155</v>
      </c>
      <c r="Q15" s="6"/>
      <c r="R15" s="6"/>
      <c r="S15" s="6">
        <v>4997</v>
      </c>
      <c r="T15" s="6">
        <v>9943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</row>
    <row r="16" spans="1:104" x14ac:dyDescent="0.25"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</row>
    <row r="17" spans="2:104" x14ac:dyDescent="0.25">
      <c r="B17" t="s">
        <v>214</v>
      </c>
      <c r="J17" s="6">
        <v>1737</v>
      </c>
      <c r="K17" s="6">
        <v>2185</v>
      </c>
      <c r="L17" s="6">
        <v>2573</v>
      </c>
      <c r="M17" s="6">
        <v>3018</v>
      </c>
      <c r="N17" s="6">
        <v>4395</v>
      </c>
      <c r="O17" s="6">
        <v>4564</v>
      </c>
      <c r="P17" s="6">
        <v>5069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</row>
    <row r="18" spans="2:104" x14ac:dyDescent="0.25">
      <c r="B18" t="s">
        <v>215</v>
      </c>
      <c r="J18" s="6">
        <v>653</v>
      </c>
      <c r="K18" s="6">
        <v>905</v>
      </c>
      <c r="L18" s="6">
        <v>1353</v>
      </c>
      <c r="M18" s="6">
        <v>1681</v>
      </c>
      <c r="N18" s="6">
        <v>1731</v>
      </c>
      <c r="O18" s="6">
        <v>1392</v>
      </c>
      <c r="P18" s="6">
        <v>1451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</row>
    <row r="19" spans="2:104" x14ac:dyDescent="0.25">
      <c r="B19" t="s">
        <v>216</v>
      </c>
      <c r="J19" s="6">
        <v>1293</v>
      </c>
      <c r="K19" s="6">
        <v>1598</v>
      </c>
      <c r="L19" s="6">
        <v>1588</v>
      </c>
      <c r="M19" s="6">
        <v>1875</v>
      </c>
      <c r="N19" s="6">
        <v>1527</v>
      </c>
      <c r="O19" s="6">
        <v>1068</v>
      </c>
      <c r="P19" s="6">
        <v>1551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2:104" x14ac:dyDescent="0.25">
      <c r="B20" t="s">
        <v>217</v>
      </c>
      <c r="J20" s="6">
        <v>1037</v>
      </c>
      <c r="K20" s="6">
        <v>1111</v>
      </c>
      <c r="L20" s="6">
        <v>1294</v>
      </c>
      <c r="M20" s="6">
        <v>1172</v>
      </c>
      <c r="N20" s="6">
        <v>1052</v>
      </c>
      <c r="O20" s="6">
        <v>1025</v>
      </c>
      <c r="P20" s="6">
        <v>1227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2:104" x14ac:dyDescent="0.25"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</row>
    <row r="22" spans="2:104" x14ac:dyDescent="0.25"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</row>
    <row r="23" spans="2:104" s="2" customFormat="1" x14ac:dyDescent="0.25">
      <c r="B23" s="2" t="s">
        <v>176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v>2648</v>
      </c>
      <c r="O23" s="6">
        <v>2947</v>
      </c>
      <c r="P23" s="6">
        <v>3386</v>
      </c>
      <c r="Q23" s="6">
        <v>4543</v>
      </c>
      <c r="R23" s="6">
        <v>5284</v>
      </c>
      <c r="S23" s="6">
        <v>7749</v>
      </c>
      <c r="T23" s="6">
        <v>13769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B23" s="6"/>
      <c r="BC23" s="6"/>
      <c r="BD23" s="6">
        <v>9184</v>
      </c>
      <c r="BE23" s="6">
        <v>12280</v>
      </c>
      <c r="BF23" s="6">
        <v>13693</v>
      </c>
      <c r="BG23" s="6">
        <v>5710</v>
      </c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</row>
    <row r="24" spans="2:104" s="2" customFormat="1" x14ac:dyDescent="0.25">
      <c r="B24" s="2" t="s">
        <v>177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2292</v>
      </c>
      <c r="O24" s="6">
        <v>1830</v>
      </c>
      <c r="P24" s="6">
        <v>1530</v>
      </c>
      <c r="Q24" s="6">
        <v>1577</v>
      </c>
      <c r="R24" s="6">
        <v>2379</v>
      </c>
      <c r="S24" s="6">
        <v>5687</v>
      </c>
      <c r="T24" s="6">
        <v>11524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B24" s="6"/>
      <c r="BC24" s="6"/>
      <c r="BD24" s="6">
        <v>5702</v>
      </c>
      <c r="BE24" s="6">
        <v>7203</v>
      </c>
      <c r="BF24" s="6">
        <v>7260</v>
      </c>
      <c r="BG24" s="6">
        <v>3630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</row>
    <row r="25" spans="2:104" s="2" customFormat="1" x14ac:dyDescent="0.25">
      <c r="B25" s="2" t="s">
        <v>178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2608</v>
      </c>
      <c r="O25" s="6">
        <v>2236</v>
      </c>
      <c r="P25" s="6">
        <v>3255</v>
      </c>
      <c r="Q25" s="6">
        <v>3760</v>
      </c>
      <c r="R25" s="6">
        <v>4255</v>
      </c>
      <c r="S25" s="6">
        <v>7711</v>
      </c>
      <c r="T25" s="6">
        <v>11521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B25" s="6"/>
      <c r="BC25" s="6"/>
      <c r="BD25" s="6">
        <v>2759</v>
      </c>
      <c r="BE25" s="6">
        <v>4209</v>
      </c>
      <c r="BF25" s="6">
        <v>5235</v>
      </c>
      <c r="BG25" s="6">
        <v>3640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</row>
    <row r="26" spans="2:104" s="2" customFormat="1" x14ac:dyDescent="0.25">
      <c r="B26" s="2" t="s">
        <v>179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1158</v>
      </c>
      <c r="O26" s="6">
        <v>1034</v>
      </c>
      <c r="P26" s="6">
        <v>1127</v>
      </c>
      <c r="Q26" s="6">
        <v>1434</v>
      </c>
      <c r="R26" s="6">
        <v>1720</v>
      </c>
      <c r="S26" s="6">
        <v>2708</v>
      </c>
      <c r="T26" s="6">
        <v>4634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B26" s="6"/>
      <c r="BC26" s="6"/>
      <c r="BD26" s="6">
        <v>3765</v>
      </c>
      <c r="BE26" s="6">
        <v>3973</v>
      </c>
      <c r="BF26" s="6">
        <v>4553</v>
      </c>
      <c r="BG26" s="6">
        <v>2550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</row>
    <row r="27" spans="2:104" x14ac:dyDescent="0.25">
      <c r="B27" s="2" t="s">
        <v>44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BB27" s="3"/>
      <c r="BC27" s="3"/>
      <c r="BD27" s="6">
        <v>25</v>
      </c>
      <c r="BE27" s="3">
        <v>40</v>
      </c>
      <c r="BF27" s="3">
        <v>17</v>
      </c>
      <c r="BG27" s="3">
        <v>10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</row>
    <row r="28" spans="2:104" x14ac:dyDescent="0.25"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</row>
    <row r="29" spans="2:104" x14ac:dyDescent="0.25">
      <c r="B29" s="2" t="s">
        <v>211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BB29" s="3"/>
      <c r="BC29" s="3"/>
      <c r="BD29" s="3"/>
      <c r="BE29" s="3"/>
      <c r="BF29" s="3"/>
      <c r="BG29" s="3"/>
      <c r="BH29" s="3"/>
      <c r="BI29" s="3"/>
      <c r="BJ29" s="3"/>
      <c r="BK29" s="6">
        <v>249000</v>
      </c>
      <c r="BL29" s="6">
        <v>279000</v>
      </c>
      <c r="BM29" s="6">
        <v>305000</v>
      </c>
      <c r="BN29" s="6">
        <v>292000</v>
      </c>
      <c r="BO29" s="6">
        <v>154000</v>
      </c>
      <c r="BP29" s="6">
        <v>160000</v>
      </c>
      <c r="BQ29" s="6">
        <v>166000</v>
      </c>
      <c r="BR29" s="6">
        <v>172000</v>
      </c>
      <c r="BS29" s="6">
        <v>178000</v>
      </c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</row>
    <row r="30" spans="2:104" s="9" customFormat="1" ht="13" x14ac:dyDescent="0.3">
      <c r="B30" s="9" t="s">
        <v>7</v>
      </c>
      <c r="C30" s="10"/>
      <c r="D30" s="10"/>
      <c r="E30" s="10">
        <v>6643</v>
      </c>
      <c r="F30" s="10">
        <v>4085</v>
      </c>
      <c r="G30" s="10">
        <v>3693</v>
      </c>
      <c r="H30" s="10">
        <v>3752</v>
      </c>
      <c r="I30" s="10">
        <v>4010</v>
      </c>
      <c r="J30" s="10">
        <v>4726</v>
      </c>
      <c r="K30" s="10">
        <v>5824</v>
      </c>
      <c r="L30" s="10">
        <v>6811</v>
      </c>
      <c r="M30" s="10">
        <f>25111-L30-K30-J30</f>
        <v>7750</v>
      </c>
      <c r="N30" s="9">
        <v>8709</v>
      </c>
      <c r="O30" s="9">
        <v>8053</v>
      </c>
      <c r="P30" s="9">
        <v>9301</v>
      </c>
      <c r="Q30" s="9">
        <f>+BI30-P30-O30-N30</f>
        <v>11315</v>
      </c>
      <c r="R30" s="9">
        <v>13643</v>
      </c>
      <c r="S30" s="9">
        <v>23860</v>
      </c>
      <c r="T30" s="9">
        <v>41456</v>
      </c>
      <c r="U30" s="9">
        <v>55000</v>
      </c>
      <c r="V30" s="9">
        <v>57470</v>
      </c>
      <c r="W30" s="9">
        <v>60730</v>
      </c>
      <c r="X30" s="9">
        <v>64530</v>
      </c>
      <c r="Y30" s="9">
        <v>67890</v>
      </c>
      <c r="AL30" s="9">
        <v>2589</v>
      </c>
      <c r="AM30" s="9">
        <v>3091</v>
      </c>
      <c r="AN30" s="9">
        <v>4404</v>
      </c>
      <c r="AO30" s="9">
        <v>4880</v>
      </c>
      <c r="AP30" s="9">
        <v>5272</v>
      </c>
      <c r="AQ30" s="9">
        <v>5688</v>
      </c>
      <c r="AR30" s="9">
        <v>5841</v>
      </c>
      <c r="AS30" s="9">
        <v>4803</v>
      </c>
      <c r="AT30" s="9">
        <v>8482</v>
      </c>
      <c r="AU30" s="9">
        <v>8788</v>
      </c>
      <c r="AV30" s="9">
        <v>8234</v>
      </c>
      <c r="AW30" s="9">
        <v>9073</v>
      </c>
      <c r="AX30" s="9">
        <v>16358</v>
      </c>
      <c r="AY30" s="9">
        <v>16192</v>
      </c>
      <c r="AZ30" s="10">
        <v>12399</v>
      </c>
      <c r="BA30" s="9">
        <v>20322</v>
      </c>
      <c r="BB30" s="9">
        <v>30391</v>
      </c>
      <c r="BC30" s="9">
        <v>23406</v>
      </c>
      <c r="BD30" s="9">
        <f>SUM(BD23:BD27)</f>
        <v>21435</v>
      </c>
      <c r="BE30" s="9">
        <f>SUM(BE23:BE27)</f>
        <v>27705</v>
      </c>
      <c r="BF30" s="9">
        <f>SUM(BF23:BF27)</f>
        <v>30758</v>
      </c>
      <c r="BG30" s="9">
        <f>SUM(BG23:BG27)</f>
        <v>15540</v>
      </c>
      <c r="BH30" s="9">
        <f>SUM(J30:M30)</f>
        <v>25111</v>
      </c>
      <c r="BI30" s="9">
        <v>37378</v>
      </c>
      <c r="BJ30" s="9">
        <f>SUM(R30:U30)</f>
        <v>133959</v>
      </c>
      <c r="BK30" s="9">
        <f>SUM(V30:Y30)</f>
        <v>250620</v>
      </c>
      <c r="BL30" s="9">
        <f>+BK30*1.05</f>
        <v>263151</v>
      </c>
      <c r="BM30" s="9">
        <f>+BL30*0.9</f>
        <v>236835.9</v>
      </c>
      <c r="BN30" s="9">
        <f>+BM30*0.9</f>
        <v>213152.31</v>
      </c>
      <c r="BO30" s="9">
        <f>+BN30*0.7</f>
        <v>149206.617</v>
      </c>
      <c r="BP30" s="9">
        <f>+BO30*0.9</f>
        <v>134285.9553</v>
      </c>
      <c r="BQ30" s="9">
        <f>+BP30*0.9</f>
        <v>120857.35977000001</v>
      </c>
      <c r="BR30" s="9">
        <f>+BQ30*0.9</f>
        <v>108771.62379300001</v>
      </c>
    </row>
    <row r="31" spans="2:104" s="2" customFormat="1" x14ac:dyDescent="0.25">
      <c r="B31" s="2" t="s">
        <v>9</v>
      </c>
      <c r="C31" s="6"/>
      <c r="D31" s="6"/>
      <c r="E31" s="6">
        <v>4021</v>
      </c>
      <c r="F31" s="6">
        <v>3192</v>
      </c>
      <c r="G31" s="6">
        <v>4899</v>
      </c>
      <c r="H31" s="6">
        <v>4420</v>
      </c>
      <c r="I31" s="6">
        <v>4445</v>
      </c>
      <c r="J31" s="6">
        <v>4761</v>
      </c>
      <c r="K31" s="6">
        <v>4745</v>
      </c>
      <c r="L31" s="6">
        <v>4979</v>
      </c>
      <c r="M31" s="6">
        <f>19498-L31-K31-J31</f>
        <v>5013</v>
      </c>
      <c r="N31" s="2">
        <v>5361</v>
      </c>
      <c r="O31" s="2">
        <v>5090</v>
      </c>
      <c r="P31" s="2">
        <v>5793</v>
      </c>
      <c r="Q31" s="2">
        <f>+BI31-P31-O31-N31</f>
        <v>6261</v>
      </c>
      <c r="R31" s="2">
        <v>5997</v>
      </c>
      <c r="S31" s="2">
        <v>6105</v>
      </c>
      <c r="T31" s="2">
        <v>6400</v>
      </c>
      <c r="U31" s="2">
        <f>+U30-U32</f>
        <v>8250</v>
      </c>
      <c r="V31" s="2">
        <f t="shared" ref="V31:Y31" si="7">+V30-V32</f>
        <v>8620.5</v>
      </c>
      <c r="W31" s="2">
        <f t="shared" si="7"/>
        <v>9109.5</v>
      </c>
      <c r="X31" s="2">
        <f t="shared" si="7"/>
        <v>9679.5</v>
      </c>
      <c r="Y31" s="2">
        <f t="shared" si="7"/>
        <v>10183.5</v>
      </c>
      <c r="AX31" s="2">
        <v>10921</v>
      </c>
      <c r="AY31" s="2">
        <v>10977</v>
      </c>
      <c r="AZ31" s="6">
        <v>9894</v>
      </c>
      <c r="BA31" s="2">
        <v>11886</v>
      </c>
      <c r="BB31" s="2">
        <v>12500</v>
      </c>
      <c r="BC31" s="2">
        <v>12704</v>
      </c>
      <c r="BD31" s="2">
        <v>14883</v>
      </c>
      <c r="BE31" s="2">
        <v>17282</v>
      </c>
      <c r="BF31" s="2">
        <v>16860</v>
      </c>
      <c r="BG31" s="2">
        <v>16956</v>
      </c>
      <c r="BH31" s="2">
        <v>19498</v>
      </c>
      <c r="BI31" s="2">
        <v>22505</v>
      </c>
      <c r="BJ31" s="2">
        <f>SUM(R31:U31)</f>
        <v>26752</v>
      </c>
      <c r="BK31" s="2">
        <f>SUM(V31:Y31)</f>
        <v>37593</v>
      </c>
      <c r="BL31" s="2">
        <f>+BL30*0.15</f>
        <v>39472.65</v>
      </c>
      <c r="BM31" s="2">
        <f>+BM30*0.2</f>
        <v>47367.18</v>
      </c>
      <c r="BN31" s="2">
        <f>+BN30*0.5</f>
        <v>106576.155</v>
      </c>
      <c r="BO31" s="2">
        <f>+BO30*0.5</f>
        <v>74603.308499999999</v>
      </c>
      <c r="BP31" s="2">
        <f t="shared" ref="BP31:BR31" si="8">+BP30*0.5</f>
        <v>67142.977650000001</v>
      </c>
      <c r="BQ31" s="2">
        <f t="shared" si="8"/>
        <v>60428.679885000005</v>
      </c>
      <c r="BR31" s="2">
        <f t="shared" si="8"/>
        <v>54385.811896500003</v>
      </c>
    </row>
    <row r="32" spans="2:104" s="2" customFormat="1" ht="13" x14ac:dyDescent="0.3">
      <c r="B32" s="2" t="s">
        <v>8</v>
      </c>
      <c r="C32" s="6"/>
      <c r="D32" s="6"/>
      <c r="E32" s="6">
        <f t="shared" ref="E32:M32" si="9">+E30-E31</f>
        <v>2622</v>
      </c>
      <c r="F32" s="6">
        <f t="shared" si="9"/>
        <v>893</v>
      </c>
      <c r="G32" s="10">
        <f t="shared" si="9"/>
        <v>-1206</v>
      </c>
      <c r="H32" s="10">
        <f t="shared" si="9"/>
        <v>-668</v>
      </c>
      <c r="I32" s="10">
        <f t="shared" si="9"/>
        <v>-435</v>
      </c>
      <c r="J32" s="10">
        <f t="shared" si="9"/>
        <v>-35</v>
      </c>
      <c r="K32" s="6">
        <f t="shared" si="9"/>
        <v>1079</v>
      </c>
      <c r="L32" s="6">
        <f t="shared" si="9"/>
        <v>1832</v>
      </c>
      <c r="M32" s="6">
        <f t="shared" si="9"/>
        <v>2737</v>
      </c>
      <c r="N32" s="2">
        <f t="shared" ref="N32" si="10">+N30-N31</f>
        <v>3348</v>
      </c>
      <c r="O32" s="2">
        <f t="shared" ref="O32:T32" si="11">+O30-O31</f>
        <v>2963</v>
      </c>
      <c r="P32" s="2">
        <f t="shared" si="11"/>
        <v>3508</v>
      </c>
      <c r="Q32" s="2">
        <f t="shared" si="11"/>
        <v>5054</v>
      </c>
      <c r="R32" s="2">
        <f t="shared" si="11"/>
        <v>7646</v>
      </c>
      <c r="S32" s="2">
        <f t="shared" si="11"/>
        <v>17755</v>
      </c>
      <c r="T32" s="2">
        <f t="shared" si="11"/>
        <v>35056</v>
      </c>
      <c r="U32" s="2">
        <f>+U30*0.85</f>
        <v>46750</v>
      </c>
      <c r="V32" s="2">
        <f t="shared" ref="V32:Y32" si="12">+V30*0.85</f>
        <v>48849.5</v>
      </c>
      <c r="W32" s="2">
        <f t="shared" si="12"/>
        <v>51620.5</v>
      </c>
      <c r="X32" s="2">
        <f t="shared" si="12"/>
        <v>54850.5</v>
      </c>
      <c r="Y32" s="2">
        <f t="shared" si="12"/>
        <v>57706.5</v>
      </c>
      <c r="AL32" s="2">
        <v>-111</v>
      </c>
      <c r="AM32" s="2">
        <v>-21</v>
      </c>
      <c r="AN32" s="2">
        <v>1314</v>
      </c>
      <c r="AO32" s="2">
        <v>1146</v>
      </c>
      <c r="AP32" s="2">
        <v>1200</v>
      </c>
      <c r="AQ32" s="2">
        <v>1078</v>
      </c>
      <c r="AR32" s="2">
        <v>-55</v>
      </c>
      <c r="AS32" s="2">
        <v>-440</v>
      </c>
      <c r="AT32" s="2">
        <v>2714</v>
      </c>
      <c r="AU32" s="2">
        <v>1758</v>
      </c>
      <c r="AV32" s="2">
        <v>968</v>
      </c>
      <c r="AW32" s="2">
        <v>1847</v>
      </c>
      <c r="AX32" s="2">
        <v>5437</v>
      </c>
      <c r="AY32" s="2">
        <v>5215</v>
      </c>
      <c r="AZ32" s="6">
        <v>2505</v>
      </c>
      <c r="BA32" s="2">
        <f t="shared" ref="BA32:BG32" si="13">+BA30-BA31</f>
        <v>8436</v>
      </c>
      <c r="BB32" s="2">
        <f t="shared" si="13"/>
        <v>17891</v>
      </c>
      <c r="BC32" s="2">
        <f t="shared" si="13"/>
        <v>10702</v>
      </c>
      <c r="BD32" s="2">
        <f t="shared" si="13"/>
        <v>6552</v>
      </c>
      <c r="BE32" s="2">
        <f t="shared" si="13"/>
        <v>10423</v>
      </c>
      <c r="BF32" s="2">
        <f t="shared" si="13"/>
        <v>13898</v>
      </c>
      <c r="BG32" s="2">
        <f t="shared" si="13"/>
        <v>-1416</v>
      </c>
      <c r="BH32" s="2">
        <v>5613</v>
      </c>
      <c r="BI32" s="2">
        <f>+BI30-BI31</f>
        <v>14873</v>
      </c>
      <c r="BJ32" s="2">
        <f>+BJ30-BJ31</f>
        <v>107207</v>
      </c>
      <c r="BK32" s="2">
        <f>+BK30-BK31</f>
        <v>213027</v>
      </c>
      <c r="BL32" s="2">
        <f t="shared" ref="BL32:BR32" si="14">+BL30-BL31</f>
        <v>223678.35</v>
      </c>
      <c r="BM32" s="2">
        <f t="shared" si="14"/>
        <v>189468.72</v>
      </c>
      <c r="BN32" s="2">
        <f t="shared" si="14"/>
        <v>106576.155</v>
      </c>
      <c r="BO32" s="2">
        <f t="shared" si="14"/>
        <v>74603.308499999999</v>
      </c>
      <c r="BP32" s="2">
        <f t="shared" si="14"/>
        <v>67142.977650000001</v>
      </c>
      <c r="BQ32" s="2">
        <f t="shared" si="14"/>
        <v>60428.679885000005</v>
      </c>
      <c r="BR32" s="2">
        <f t="shared" si="14"/>
        <v>54385.811896500003</v>
      </c>
    </row>
    <row r="33" spans="2:112" s="2" customFormat="1" ht="13" x14ac:dyDescent="0.3">
      <c r="C33" s="6"/>
      <c r="D33" s="6"/>
      <c r="E33" s="6"/>
      <c r="F33" s="6"/>
      <c r="G33" s="10"/>
      <c r="H33" s="10"/>
      <c r="I33" s="10"/>
      <c r="J33" s="10"/>
      <c r="K33" s="6"/>
      <c r="L33" s="6"/>
      <c r="M33" s="6"/>
      <c r="N33" s="6"/>
      <c r="AZ33" s="6"/>
    </row>
    <row r="34" spans="2:112" s="13" customFormat="1" ht="13" x14ac:dyDescent="0.3">
      <c r="B34" s="13" t="s">
        <v>36</v>
      </c>
      <c r="C34" s="14"/>
      <c r="D34" s="14"/>
      <c r="E34" s="14"/>
      <c r="F34" s="14"/>
      <c r="G34" s="14"/>
      <c r="H34" s="14"/>
      <c r="I34" s="14"/>
      <c r="J34" s="14">
        <f>+J76</f>
        <v>1915</v>
      </c>
      <c r="K34" s="14">
        <f>+K76</f>
        <v>1924</v>
      </c>
      <c r="L34" s="14">
        <f>+L76</f>
        <v>1955</v>
      </c>
      <c r="M34" s="14">
        <f t="shared" ref="M34:P34" si="15">+M76</f>
        <v>1986</v>
      </c>
      <c r="N34" s="14">
        <f t="shared" si="15"/>
        <v>2030</v>
      </c>
      <c r="O34" s="14">
        <f t="shared" si="15"/>
        <v>2079</v>
      </c>
      <c r="P34" s="14">
        <f t="shared" si="15"/>
        <v>2094</v>
      </c>
      <c r="AZ34" s="14"/>
    </row>
    <row r="35" spans="2:112" s="13" customFormat="1" ht="13" x14ac:dyDescent="0.3">
      <c r="B35" s="13" t="s">
        <v>40</v>
      </c>
      <c r="C35" s="14"/>
      <c r="D35" s="14"/>
      <c r="E35" s="14"/>
      <c r="F35" s="14"/>
      <c r="G35" s="14"/>
      <c r="H35" s="14"/>
      <c r="I35" s="14"/>
      <c r="J35" s="14">
        <f>+J32+J34</f>
        <v>1880</v>
      </c>
      <c r="K35" s="14">
        <f>+K32+K34</f>
        <v>3003</v>
      </c>
      <c r="L35" s="14">
        <f>+L32+L34</f>
        <v>3787</v>
      </c>
      <c r="M35" s="14">
        <f t="shared" ref="M35:P35" si="16">+M32+M34</f>
        <v>4723</v>
      </c>
      <c r="N35" s="14">
        <f t="shared" si="16"/>
        <v>5378</v>
      </c>
      <c r="O35" s="14">
        <f t="shared" si="16"/>
        <v>5042</v>
      </c>
      <c r="P35" s="14">
        <f t="shared" si="16"/>
        <v>5602</v>
      </c>
      <c r="AZ35" s="14"/>
    </row>
    <row r="36" spans="2:112" s="13" customFormat="1" ht="13" x14ac:dyDescent="0.3">
      <c r="B36" s="13" t="s">
        <v>31</v>
      </c>
      <c r="C36" s="14"/>
      <c r="D36" s="14"/>
      <c r="E36" s="14"/>
      <c r="F36" s="14"/>
      <c r="G36" s="14"/>
      <c r="H36" s="14"/>
      <c r="I36" s="14"/>
      <c r="J36" s="15">
        <f>+J35/J30</f>
        <v>0.3977994075327973</v>
      </c>
      <c r="K36" s="15">
        <f>+K35/K30</f>
        <v>0.515625</v>
      </c>
      <c r="L36" s="15">
        <f>+L35/L30</f>
        <v>0.55601233299075026</v>
      </c>
      <c r="M36" s="15">
        <f t="shared" ref="M36:P36" si="17">+M35/M30</f>
        <v>0.60941935483870968</v>
      </c>
      <c r="N36" s="15">
        <f t="shared" si="17"/>
        <v>0.61752210357101844</v>
      </c>
      <c r="O36" s="15">
        <f t="shared" si="17"/>
        <v>0.6261020737613312</v>
      </c>
      <c r="P36" s="15">
        <f t="shared" si="17"/>
        <v>0.60230082786797123</v>
      </c>
      <c r="AZ36" s="14"/>
    </row>
    <row r="37" spans="2:112" s="2" customFormat="1" ht="13" x14ac:dyDescent="0.3">
      <c r="C37" s="6"/>
      <c r="D37" s="6"/>
      <c r="E37" s="6"/>
      <c r="F37" s="6"/>
      <c r="G37" s="10"/>
      <c r="H37" s="10"/>
      <c r="I37" s="10"/>
      <c r="J37" s="10"/>
      <c r="K37" s="6"/>
      <c r="L37" s="6"/>
      <c r="M37" s="6"/>
      <c r="N37" s="6"/>
      <c r="AZ37" s="6"/>
    </row>
    <row r="38" spans="2:112" s="2" customFormat="1" x14ac:dyDescent="0.25">
      <c r="B38" s="2" t="s">
        <v>12</v>
      </c>
      <c r="C38" s="6"/>
      <c r="D38" s="6"/>
      <c r="E38" s="6">
        <v>839</v>
      </c>
      <c r="F38" s="6">
        <v>849</v>
      </c>
      <c r="G38" s="6">
        <v>788</v>
      </c>
      <c r="H38" s="6"/>
      <c r="I38" s="6">
        <v>719</v>
      </c>
      <c r="J38" s="6">
        <v>845</v>
      </c>
      <c r="K38" s="6">
        <v>832</v>
      </c>
      <c r="L38" s="6">
        <v>850</v>
      </c>
      <c r="M38" s="6">
        <f>3430-L38-K38-J38</f>
        <v>903</v>
      </c>
      <c r="N38" s="2">
        <v>888</v>
      </c>
      <c r="O38" s="2">
        <v>898</v>
      </c>
      <c r="P38" s="2">
        <v>965</v>
      </c>
      <c r="Q38" s="2">
        <f t="shared" ref="Q38:Q39" si="18">+BI38-P38-O38-N38</f>
        <v>1047</v>
      </c>
      <c r="R38" s="2">
        <v>1171</v>
      </c>
      <c r="S38" s="2">
        <v>1250</v>
      </c>
      <c r="T38" s="2">
        <v>1316</v>
      </c>
      <c r="U38" s="2">
        <f>+T38</f>
        <v>1316</v>
      </c>
      <c r="V38" s="2">
        <f t="shared" ref="V38:Y38" si="19">+U38</f>
        <v>1316</v>
      </c>
      <c r="W38" s="2">
        <f t="shared" si="19"/>
        <v>1316</v>
      </c>
      <c r="X38" s="2">
        <f t="shared" si="19"/>
        <v>1316</v>
      </c>
      <c r="Y38" s="2">
        <f t="shared" si="19"/>
        <v>1316</v>
      </c>
      <c r="AZ38" s="6"/>
      <c r="BA38" s="2">
        <v>1824</v>
      </c>
      <c r="BB38" s="2">
        <v>2141</v>
      </c>
      <c r="BC38" s="2">
        <v>2441</v>
      </c>
      <c r="BD38" s="2">
        <v>2600</v>
      </c>
      <c r="BE38" s="2">
        <v>2663</v>
      </c>
      <c r="BF38" s="2">
        <v>3116</v>
      </c>
      <c r="BG38" s="2">
        <v>3114</v>
      </c>
      <c r="BH38" s="2">
        <v>3430</v>
      </c>
      <c r="BI38" s="2">
        <v>3798</v>
      </c>
      <c r="BJ38" s="2">
        <f>SUM(R38:U38)</f>
        <v>5053</v>
      </c>
      <c r="BK38" s="2">
        <f>SUM(V38:Y38)</f>
        <v>5264</v>
      </c>
      <c r="BL38" s="2">
        <f>+BK38*1.03</f>
        <v>5421.92</v>
      </c>
      <c r="BM38" s="2">
        <f t="shared" ref="BM38:BR38" si="20">+BL38*1.03</f>
        <v>5584.5776000000005</v>
      </c>
      <c r="BN38" s="2">
        <f t="shared" si="20"/>
        <v>5752.1149280000009</v>
      </c>
      <c r="BO38" s="2">
        <f t="shared" si="20"/>
        <v>5924.6783758400006</v>
      </c>
      <c r="BP38" s="2">
        <f t="shared" si="20"/>
        <v>6102.4187271152005</v>
      </c>
      <c r="BQ38" s="2">
        <f t="shared" si="20"/>
        <v>6285.491288928657</v>
      </c>
      <c r="BR38" s="2">
        <f t="shared" si="20"/>
        <v>6474.0560275965172</v>
      </c>
    </row>
    <row r="39" spans="2:112" s="2" customFormat="1" x14ac:dyDescent="0.25">
      <c r="B39" s="2" t="s">
        <v>13</v>
      </c>
      <c r="C39" s="6"/>
      <c r="D39" s="6"/>
      <c r="E39" s="6">
        <v>280</v>
      </c>
      <c r="F39" s="6">
        <v>251</v>
      </c>
      <c r="G39" s="6">
        <v>231</v>
      </c>
      <c r="H39" s="6"/>
      <c r="I39" s="6">
        <v>219</v>
      </c>
      <c r="J39" s="6">
        <v>263</v>
      </c>
      <c r="K39" s="6">
        <v>280</v>
      </c>
      <c r="L39" s="6">
        <v>291</v>
      </c>
      <c r="M39" s="6">
        <f>1129-L39-K39-J39</f>
        <v>295</v>
      </c>
      <c r="N39" s="2">
        <v>288</v>
      </c>
      <c r="O39" s="2">
        <v>285</v>
      </c>
      <c r="P39" s="2">
        <v>318</v>
      </c>
      <c r="Q39" s="2">
        <f t="shared" si="18"/>
        <v>314</v>
      </c>
      <c r="R39" s="2">
        <v>337</v>
      </c>
      <c r="S39" s="2">
        <v>344</v>
      </c>
      <c r="T39" s="2">
        <v>407</v>
      </c>
      <c r="U39" s="2">
        <v>407</v>
      </c>
      <c r="V39" s="2">
        <v>407</v>
      </c>
      <c r="W39" s="2">
        <v>407</v>
      </c>
      <c r="X39" s="2">
        <v>407</v>
      </c>
      <c r="Y39" s="2">
        <v>407</v>
      </c>
      <c r="AZ39" s="6"/>
      <c r="BA39" s="2">
        <v>743</v>
      </c>
      <c r="BB39" s="2">
        <v>813</v>
      </c>
      <c r="BC39" s="2">
        <v>836</v>
      </c>
      <c r="BD39" s="2">
        <v>881</v>
      </c>
      <c r="BE39" s="2">
        <v>894</v>
      </c>
      <c r="BF39" s="2">
        <v>1066</v>
      </c>
      <c r="BG39" s="2">
        <v>920</v>
      </c>
      <c r="BH39" s="2">
        <v>1129</v>
      </c>
      <c r="BI39" s="2">
        <v>1205</v>
      </c>
      <c r="BJ39" s="2">
        <f>SUM(R39:U39)</f>
        <v>1495</v>
      </c>
      <c r="BK39" s="2">
        <f>SUM(V39:Y39)</f>
        <v>1628</v>
      </c>
      <c r="BL39" s="2">
        <f>+BK39</f>
        <v>1628</v>
      </c>
      <c r="BM39" s="2">
        <f t="shared" ref="BM39:BR39" si="21">+BL39</f>
        <v>1628</v>
      </c>
      <c r="BN39" s="2">
        <f t="shared" si="21"/>
        <v>1628</v>
      </c>
      <c r="BO39" s="2">
        <f t="shared" si="21"/>
        <v>1628</v>
      </c>
      <c r="BP39" s="2">
        <f t="shared" si="21"/>
        <v>1628</v>
      </c>
      <c r="BQ39" s="2">
        <f t="shared" si="21"/>
        <v>1628</v>
      </c>
      <c r="BR39" s="2">
        <f t="shared" si="21"/>
        <v>1628</v>
      </c>
    </row>
    <row r="40" spans="2:112" s="2" customFormat="1" x14ac:dyDescent="0.25">
      <c r="B40" s="2" t="s">
        <v>10</v>
      </c>
      <c r="C40" s="6"/>
      <c r="D40" s="6"/>
      <c r="E40" s="6">
        <f t="shared" ref="E40:K40" si="22">+E38+E39</f>
        <v>1119</v>
      </c>
      <c r="F40" s="6">
        <f t="shared" si="22"/>
        <v>1100</v>
      </c>
      <c r="G40" s="6">
        <f t="shared" si="22"/>
        <v>1019</v>
      </c>
      <c r="H40" s="6">
        <f t="shared" si="22"/>
        <v>0</v>
      </c>
      <c r="I40" s="6">
        <f t="shared" si="22"/>
        <v>938</v>
      </c>
      <c r="J40" s="6">
        <f t="shared" si="22"/>
        <v>1108</v>
      </c>
      <c r="K40" s="6">
        <f t="shared" si="22"/>
        <v>1112</v>
      </c>
      <c r="L40" s="6">
        <f>+L38+L39</f>
        <v>1141</v>
      </c>
      <c r="M40" s="6">
        <f t="shared" ref="M40:U40" si="23">+M38+M39</f>
        <v>1198</v>
      </c>
      <c r="N40" s="6">
        <f t="shared" si="23"/>
        <v>1176</v>
      </c>
      <c r="O40" s="6">
        <f t="shared" si="23"/>
        <v>1183</v>
      </c>
      <c r="P40" s="6">
        <f t="shared" si="23"/>
        <v>1283</v>
      </c>
      <c r="Q40" s="6">
        <f t="shared" si="23"/>
        <v>1361</v>
      </c>
      <c r="R40" s="6">
        <f t="shared" si="23"/>
        <v>1508</v>
      </c>
      <c r="S40" s="6">
        <f t="shared" si="23"/>
        <v>1594</v>
      </c>
      <c r="T40" s="6">
        <f t="shared" si="23"/>
        <v>1723</v>
      </c>
      <c r="U40" s="6">
        <f t="shared" si="23"/>
        <v>1723</v>
      </c>
      <c r="V40" s="6">
        <f t="shared" ref="V40:Y40" si="24">+V38+V39</f>
        <v>1723</v>
      </c>
      <c r="W40" s="6">
        <f t="shared" si="24"/>
        <v>1723</v>
      </c>
      <c r="X40" s="6">
        <f t="shared" si="24"/>
        <v>1723</v>
      </c>
      <c r="Y40" s="6">
        <f t="shared" si="24"/>
        <v>1723</v>
      </c>
      <c r="AZ40" s="6"/>
      <c r="BA40" s="2">
        <f t="shared" ref="BA40:BF40" si="25">+BA39+BA38</f>
        <v>2567</v>
      </c>
      <c r="BB40" s="2">
        <f t="shared" si="25"/>
        <v>2954</v>
      </c>
      <c r="BC40" s="2">
        <f t="shared" si="25"/>
        <v>3277</v>
      </c>
      <c r="BD40" s="2">
        <f t="shared" si="25"/>
        <v>3481</v>
      </c>
      <c r="BE40" s="2">
        <f t="shared" si="25"/>
        <v>3557</v>
      </c>
      <c r="BF40" s="2">
        <f t="shared" si="25"/>
        <v>4182</v>
      </c>
      <c r="BG40" s="2">
        <f>+BG39+BG38</f>
        <v>4034</v>
      </c>
      <c r="BH40" s="2">
        <f t="shared" ref="BH40:BK40" si="26">+BH39+BH38</f>
        <v>4559</v>
      </c>
      <c r="BI40" s="2">
        <f t="shared" si="26"/>
        <v>5003</v>
      </c>
      <c r="BJ40" s="2">
        <f t="shared" si="26"/>
        <v>6548</v>
      </c>
      <c r="BK40" s="2">
        <f t="shared" si="26"/>
        <v>6892</v>
      </c>
      <c r="BL40" s="2">
        <f t="shared" ref="BL40:BR40" si="27">+BL39+BL38</f>
        <v>7049.92</v>
      </c>
      <c r="BM40" s="2">
        <f t="shared" si="27"/>
        <v>7212.5776000000005</v>
      </c>
      <c r="BN40" s="2">
        <f t="shared" si="27"/>
        <v>7380.1149280000009</v>
      </c>
      <c r="BO40" s="2">
        <f t="shared" si="27"/>
        <v>7552.6783758400006</v>
      </c>
      <c r="BP40" s="2">
        <f t="shared" si="27"/>
        <v>7730.4187271152005</v>
      </c>
      <c r="BQ40" s="2">
        <f t="shared" si="27"/>
        <v>7913.491288928657</v>
      </c>
      <c r="BR40" s="2">
        <f t="shared" si="27"/>
        <v>8102.0560275965172</v>
      </c>
    </row>
    <row r="41" spans="2:112" s="2" customFormat="1" x14ac:dyDescent="0.25">
      <c r="B41" s="2" t="s">
        <v>11</v>
      </c>
      <c r="C41" s="6"/>
      <c r="D41" s="6"/>
      <c r="E41" s="6">
        <f t="shared" ref="E41:K41" si="28">+E32-E40</f>
        <v>1503</v>
      </c>
      <c r="F41" s="6">
        <f t="shared" si="28"/>
        <v>-207</v>
      </c>
      <c r="G41" s="6">
        <f t="shared" si="28"/>
        <v>-2225</v>
      </c>
      <c r="H41" s="6">
        <f t="shared" si="28"/>
        <v>-668</v>
      </c>
      <c r="I41" s="6">
        <f t="shared" si="28"/>
        <v>-1373</v>
      </c>
      <c r="J41" s="6">
        <f t="shared" si="28"/>
        <v>-1143</v>
      </c>
      <c r="K41" s="6">
        <f t="shared" si="28"/>
        <v>-33</v>
      </c>
      <c r="L41" s="6">
        <f>+L32-L40</f>
        <v>691</v>
      </c>
      <c r="M41" s="6">
        <f t="shared" ref="M41:U41" si="29">+M32-M40</f>
        <v>1539</v>
      </c>
      <c r="N41" s="6">
        <f t="shared" si="29"/>
        <v>2172</v>
      </c>
      <c r="O41" s="6">
        <f t="shared" si="29"/>
        <v>1780</v>
      </c>
      <c r="P41" s="6">
        <f t="shared" si="29"/>
        <v>2225</v>
      </c>
      <c r="Q41" s="6">
        <f t="shared" si="29"/>
        <v>3693</v>
      </c>
      <c r="R41" s="6">
        <f t="shared" si="29"/>
        <v>6138</v>
      </c>
      <c r="S41" s="6">
        <f t="shared" si="29"/>
        <v>16161</v>
      </c>
      <c r="T41" s="6">
        <f t="shared" si="29"/>
        <v>33333</v>
      </c>
      <c r="U41" s="6">
        <f t="shared" si="29"/>
        <v>45027</v>
      </c>
      <c r="V41" s="6">
        <f t="shared" ref="V41:Y41" si="30">+V32-V40</f>
        <v>47126.5</v>
      </c>
      <c r="W41" s="6">
        <f t="shared" si="30"/>
        <v>49897.5</v>
      </c>
      <c r="X41" s="6">
        <f t="shared" si="30"/>
        <v>53127.5</v>
      </c>
      <c r="Y41" s="6">
        <f t="shared" si="30"/>
        <v>55983.5</v>
      </c>
      <c r="AZ41" s="6"/>
      <c r="BA41" s="2">
        <f t="shared" ref="BA41:BF41" si="31">+BA32-BA40</f>
        <v>5869</v>
      </c>
      <c r="BB41" s="2">
        <f t="shared" si="31"/>
        <v>14937</v>
      </c>
      <c r="BC41" s="2">
        <f t="shared" si="31"/>
        <v>7425</v>
      </c>
      <c r="BD41" s="2">
        <f t="shared" si="31"/>
        <v>3071</v>
      </c>
      <c r="BE41" s="2">
        <f t="shared" si="31"/>
        <v>6866</v>
      </c>
      <c r="BF41" s="2">
        <f t="shared" si="31"/>
        <v>9716</v>
      </c>
      <c r="BG41" s="2">
        <f>+BG32-BG40</f>
        <v>-5450</v>
      </c>
      <c r="BH41" s="2">
        <f t="shared" ref="BH41:BK41" si="32">+BH32-BH40</f>
        <v>1054</v>
      </c>
      <c r="BI41" s="2">
        <f t="shared" si="32"/>
        <v>9870</v>
      </c>
      <c r="BJ41" s="2">
        <f t="shared" si="32"/>
        <v>100659</v>
      </c>
      <c r="BK41" s="2">
        <f t="shared" si="32"/>
        <v>206135</v>
      </c>
      <c r="BL41" s="2">
        <f t="shared" ref="BL41:BR41" si="33">+BL32-BL40</f>
        <v>216628.43</v>
      </c>
      <c r="BM41" s="2">
        <f t="shared" si="33"/>
        <v>182256.14240000001</v>
      </c>
      <c r="BN41" s="2">
        <f t="shared" si="33"/>
        <v>99196.040072000003</v>
      </c>
      <c r="BO41" s="2">
        <f t="shared" si="33"/>
        <v>67050.630124160001</v>
      </c>
      <c r="BP41" s="2">
        <f t="shared" si="33"/>
        <v>59412.558922884797</v>
      </c>
      <c r="BQ41" s="2">
        <f t="shared" si="33"/>
        <v>52515.188596071348</v>
      </c>
      <c r="BR41" s="2">
        <f t="shared" si="33"/>
        <v>46283.755868903485</v>
      </c>
    </row>
    <row r="42" spans="2:112" x14ac:dyDescent="0.25">
      <c r="B42" s="2" t="s">
        <v>14</v>
      </c>
      <c r="E42" s="3">
        <f>23+54-45+23</f>
        <v>55</v>
      </c>
      <c r="F42" s="3">
        <f>11-51-4</f>
        <v>-44</v>
      </c>
      <c r="G42" s="3">
        <f>119-89+2-8</f>
        <v>24</v>
      </c>
      <c r="J42" s="3">
        <f>-27-15</f>
        <v>-42</v>
      </c>
      <c r="K42" s="3">
        <f>130-144-7</f>
        <v>-21</v>
      </c>
      <c r="L42" s="6">
        <f>136-150+10</f>
        <v>-4</v>
      </c>
      <c r="M42" s="3">
        <f>529-562</f>
        <v>-33</v>
      </c>
      <c r="N42" s="3">
        <f>107-118</f>
        <v>-11</v>
      </c>
      <c r="O42">
        <f>108-112</f>
        <v>-4</v>
      </c>
      <c r="P42">
        <f>135-123</f>
        <v>12</v>
      </c>
      <c r="Q42" s="2">
        <f>+BI42-P42-O42-N42</f>
        <v>22</v>
      </c>
      <c r="R42">
        <f>139-74</f>
        <v>65</v>
      </c>
      <c r="S42">
        <f>155-32</f>
        <v>123</v>
      </c>
      <c r="T42">
        <v>215</v>
      </c>
      <c r="U42">
        <f>+T42</f>
        <v>215</v>
      </c>
      <c r="V42">
        <f t="shared" ref="V42:Y42" si="34">+U42</f>
        <v>215</v>
      </c>
      <c r="W42">
        <f t="shared" si="34"/>
        <v>215</v>
      </c>
      <c r="X42">
        <f t="shared" si="34"/>
        <v>215</v>
      </c>
      <c r="Y42">
        <f t="shared" si="34"/>
        <v>215</v>
      </c>
      <c r="BA42">
        <f>-1+41-601-112</f>
        <v>-673</v>
      </c>
      <c r="BB42">
        <f>57+120-342-465</f>
        <v>-630</v>
      </c>
      <c r="BC42">
        <f>-78+205-128-405</f>
        <v>-406</v>
      </c>
      <c r="BD42">
        <f>-8+114-194+60</f>
        <v>-28</v>
      </c>
      <c r="BE42">
        <f>-95+37-183+81</f>
        <v>-160</v>
      </c>
      <c r="BF42">
        <f>34+96-189-38</f>
        <v>-97</v>
      </c>
      <c r="BG42">
        <f>-124+468-388+7</f>
        <v>-37</v>
      </c>
      <c r="BH42">
        <f>529-562</f>
        <v>-33</v>
      </c>
      <c r="BI42">
        <f>496-477</f>
        <v>19</v>
      </c>
      <c r="BJ42" s="2">
        <f>SUM(R42:U42)</f>
        <v>618</v>
      </c>
      <c r="BK42" s="2">
        <f>+BJ54*$BU$51</f>
        <v>802.56000000000006</v>
      </c>
      <c r="BL42" s="2">
        <f t="shared" ref="BL42:BR42" si="35">+BK54*$BU$51</f>
        <v>4320.3262000000004</v>
      </c>
      <c r="BM42" s="2">
        <f t="shared" si="35"/>
        <v>7855.5062992000003</v>
      </c>
      <c r="BN42" s="2">
        <f t="shared" si="35"/>
        <v>10897.292678387201</v>
      </c>
      <c r="BO42" s="2">
        <f t="shared" si="35"/>
        <v>12658.786002393395</v>
      </c>
      <c r="BP42" s="2">
        <f t="shared" si="35"/>
        <v>13934.136660418249</v>
      </c>
      <c r="BQ42" s="2">
        <f t="shared" si="35"/>
        <v>15107.6837897511</v>
      </c>
      <c r="BR42" s="2">
        <f t="shared" si="35"/>
        <v>16189.649747924257</v>
      </c>
    </row>
    <row r="43" spans="2:112" x14ac:dyDescent="0.25">
      <c r="B43" s="2" t="s">
        <v>15</v>
      </c>
      <c r="E43" s="6">
        <f t="shared" ref="E43:J43" si="36">+E41+E42</f>
        <v>1558</v>
      </c>
      <c r="F43" s="6">
        <f t="shared" si="36"/>
        <v>-251</v>
      </c>
      <c r="G43" s="6">
        <f t="shared" si="36"/>
        <v>-2201</v>
      </c>
      <c r="H43" s="6">
        <f t="shared" si="36"/>
        <v>-668</v>
      </c>
      <c r="I43" s="6">
        <f t="shared" si="36"/>
        <v>-1373</v>
      </c>
      <c r="J43" s="6">
        <f t="shared" si="36"/>
        <v>-1185</v>
      </c>
      <c r="K43" s="6">
        <f>+K41+K42</f>
        <v>-54</v>
      </c>
      <c r="L43" s="6">
        <f>+L41+L42</f>
        <v>687</v>
      </c>
      <c r="M43" s="6">
        <f t="shared" ref="M43:U43" si="37">+M41+M42</f>
        <v>1506</v>
      </c>
      <c r="N43" s="6">
        <f t="shared" si="37"/>
        <v>2161</v>
      </c>
      <c r="O43" s="6">
        <f t="shared" si="37"/>
        <v>1776</v>
      </c>
      <c r="P43" s="6">
        <f t="shared" si="37"/>
        <v>2237</v>
      </c>
      <c r="Q43" s="6">
        <f t="shared" si="37"/>
        <v>3715</v>
      </c>
      <c r="R43" s="6">
        <f t="shared" si="37"/>
        <v>6203</v>
      </c>
      <c r="S43" s="6">
        <f t="shared" si="37"/>
        <v>16284</v>
      </c>
      <c r="T43" s="6">
        <f t="shared" si="37"/>
        <v>33548</v>
      </c>
      <c r="U43" s="6">
        <f t="shared" si="37"/>
        <v>45242</v>
      </c>
      <c r="V43" s="6">
        <f t="shared" ref="V43:Y43" si="38">+V41+V42</f>
        <v>47341.5</v>
      </c>
      <c r="W43" s="6">
        <f t="shared" si="38"/>
        <v>50112.5</v>
      </c>
      <c r="X43" s="6">
        <f t="shared" si="38"/>
        <v>53342.5</v>
      </c>
      <c r="Y43" s="6">
        <f t="shared" si="38"/>
        <v>56198.5</v>
      </c>
      <c r="BA43" s="2">
        <f t="shared" ref="BA43:BG43" si="39">+BA41+BA42</f>
        <v>5196</v>
      </c>
      <c r="BB43" s="2">
        <f t="shared" si="39"/>
        <v>14307</v>
      </c>
      <c r="BC43" s="2">
        <f t="shared" si="39"/>
        <v>7019</v>
      </c>
      <c r="BD43" s="2">
        <f t="shared" si="39"/>
        <v>3043</v>
      </c>
      <c r="BE43" s="2">
        <f t="shared" si="39"/>
        <v>6706</v>
      </c>
      <c r="BF43" s="2">
        <f t="shared" si="39"/>
        <v>9619</v>
      </c>
      <c r="BG43" s="2">
        <f t="shared" si="39"/>
        <v>-5487</v>
      </c>
      <c r="BH43" s="2">
        <f t="shared" ref="BH43" si="40">+BH41+BH42</f>
        <v>1021</v>
      </c>
      <c r="BI43" s="2">
        <f t="shared" ref="BI43:BK43" si="41">+BI41+BI42</f>
        <v>9889</v>
      </c>
      <c r="BJ43" s="2">
        <f t="shared" si="41"/>
        <v>101277</v>
      </c>
      <c r="BK43" s="2">
        <f t="shared" si="41"/>
        <v>206937.56</v>
      </c>
      <c r="BL43" s="2">
        <f t="shared" ref="BL43:BR43" si="42">+BL41+BL42</f>
        <v>220948.7562</v>
      </c>
      <c r="BM43" s="2">
        <f t="shared" si="42"/>
        <v>190111.64869920001</v>
      </c>
      <c r="BN43" s="2">
        <f t="shared" si="42"/>
        <v>110093.3327503872</v>
      </c>
      <c r="BO43" s="2">
        <f t="shared" si="42"/>
        <v>79709.416126553391</v>
      </c>
      <c r="BP43" s="2">
        <f t="shared" si="42"/>
        <v>73346.695583303052</v>
      </c>
      <c r="BQ43" s="2">
        <f t="shared" si="42"/>
        <v>67622.87238582244</v>
      </c>
      <c r="BR43" s="2">
        <f t="shared" si="42"/>
        <v>62473.405616827746</v>
      </c>
    </row>
    <row r="44" spans="2:112" x14ac:dyDescent="0.25">
      <c r="B44" s="2" t="s">
        <v>16</v>
      </c>
      <c r="E44" s="3">
        <f>56+5</f>
        <v>61</v>
      </c>
      <c r="F44" s="3">
        <v>19</v>
      </c>
      <c r="J44" s="3">
        <f>73+6</f>
        <v>79</v>
      </c>
      <c r="K44" s="6">
        <f>622+1</f>
        <v>623</v>
      </c>
      <c r="L44" s="6">
        <f>377+6</f>
        <v>383</v>
      </c>
      <c r="M44" s="3">
        <v>451</v>
      </c>
      <c r="N44" s="3">
        <v>283</v>
      </c>
      <c r="O44" s="2">
        <v>177</v>
      </c>
      <c r="P44" s="2">
        <v>235</v>
      </c>
      <c r="Q44" s="2">
        <f>+BI44-P44-O44-N44</f>
        <v>429</v>
      </c>
      <c r="R44" s="2">
        <v>829</v>
      </c>
      <c r="S44" s="2">
        <v>2371</v>
      </c>
      <c r="T44" s="2">
        <v>4978</v>
      </c>
      <c r="U44" s="2">
        <f>+U43*0.15</f>
        <v>6786.3</v>
      </c>
      <c r="V44" s="2">
        <f t="shared" ref="V44:Y44" si="43">+V43*0.15</f>
        <v>7101.2249999999995</v>
      </c>
      <c r="W44" s="2">
        <f t="shared" si="43"/>
        <v>7516.875</v>
      </c>
      <c r="X44" s="2">
        <f t="shared" si="43"/>
        <v>8001.375</v>
      </c>
      <c r="Y44" s="2">
        <f t="shared" si="43"/>
        <v>8429.7749999999996</v>
      </c>
      <c r="BA44">
        <f>114-8</f>
        <v>106</v>
      </c>
      <c r="BB44">
        <f>168+1</f>
        <v>169</v>
      </c>
      <c r="BC44">
        <f>693-3</f>
        <v>690</v>
      </c>
      <c r="BD44">
        <f>280-7</f>
        <v>273</v>
      </c>
      <c r="BE44">
        <f>394-37</f>
        <v>357</v>
      </c>
      <c r="BF44">
        <f>888-4</f>
        <v>884</v>
      </c>
      <c r="BG44">
        <f>177-2</f>
        <v>175</v>
      </c>
      <c r="BH44">
        <v>451</v>
      </c>
      <c r="BI44" s="2">
        <v>1124</v>
      </c>
      <c r="BJ44" s="2">
        <f>SUM(R44:U44)</f>
        <v>14964.3</v>
      </c>
      <c r="BK44" s="2">
        <f>SUM(V44:Y44)</f>
        <v>31049.25</v>
      </c>
      <c r="BL44" s="2">
        <f>+BL43*0.2</f>
        <v>44189.751240000005</v>
      </c>
      <c r="BM44" s="2">
        <f t="shared" ref="BM44:BR44" si="44">+BM43*0.2</f>
        <v>38022.329739840003</v>
      </c>
      <c r="BN44" s="2">
        <f t="shared" si="44"/>
        <v>22018.66655007744</v>
      </c>
      <c r="BO44" s="2">
        <f t="shared" si="44"/>
        <v>15941.883225310679</v>
      </c>
      <c r="BP44" s="2">
        <f t="shared" si="44"/>
        <v>14669.339116660611</v>
      </c>
      <c r="BQ44" s="2">
        <f t="shared" si="44"/>
        <v>13524.57447716449</v>
      </c>
      <c r="BR44" s="2">
        <f t="shared" si="44"/>
        <v>12494.68112336555</v>
      </c>
    </row>
    <row r="45" spans="2:112" x14ac:dyDescent="0.25">
      <c r="B45" s="2" t="s">
        <v>17</v>
      </c>
      <c r="E45" s="6">
        <f t="shared" ref="E45:J45" si="45">+E43-E44</f>
        <v>1497</v>
      </c>
      <c r="F45" s="6">
        <f t="shared" si="45"/>
        <v>-270</v>
      </c>
      <c r="G45" s="6">
        <f t="shared" si="45"/>
        <v>-2201</v>
      </c>
      <c r="H45" s="6">
        <f t="shared" si="45"/>
        <v>-668</v>
      </c>
      <c r="I45" s="6">
        <f t="shared" si="45"/>
        <v>-1373</v>
      </c>
      <c r="J45" s="6">
        <f t="shared" si="45"/>
        <v>-1264</v>
      </c>
      <c r="K45" s="6">
        <f>+K43-K44</f>
        <v>-677</v>
      </c>
      <c r="L45" s="6">
        <f>+L43-L44</f>
        <v>304</v>
      </c>
      <c r="M45" s="6">
        <f t="shared" ref="M45:U45" si="46">+M43-M44</f>
        <v>1055</v>
      </c>
      <c r="N45" s="6">
        <f t="shared" si="46"/>
        <v>1878</v>
      </c>
      <c r="O45" s="6">
        <f t="shared" si="46"/>
        <v>1599</v>
      </c>
      <c r="P45" s="6">
        <f t="shared" si="46"/>
        <v>2002</v>
      </c>
      <c r="Q45" s="6">
        <f t="shared" si="46"/>
        <v>3286</v>
      </c>
      <c r="R45" s="6">
        <f t="shared" si="46"/>
        <v>5374</v>
      </c>
      <c r="S45" s="6">
        <f t="shared" si="46"/>
        <v>13913</v>
      </c>
      <c r="T45" s="6">
        <f t="shared" si="46"/>
        <v>28570</v>
      </c>
      <c r="U45" s="6">
        <f t="shared" si="46"/>
        <v>38455.699999999997</v>
      </c>
      <c r="V45" s="6">
        <f t="shared" ref="V45:Y45" si="47">+V43-V44</f>
        <v>40240.275000000001</v>
      </c>
      <c r="W45" s="6">
        <f t="shared" si="47"/>
        <v>42595.625</v>
      </c>
      <c r="X45" s="6">
        <f t="shared" si="47"/>
        <v>45341.125</v>
      </c>
      <c r="Y45" s="6">
        <f t="shared" si="47"/>
        <v>47768.724999999999</v>
      </c>
      <c r="BA45" s="2">
        <f t="shared" ref="BA45:BG45" si="48">+BA43-BA44</f>
        <v>5090</v>
      </c>
      <c r="BB45" s="2">
        <f t="shared" si="48"/>
        <v>14138</v>
      </c>
      <c r="BC45" s="2">
        <f t="shared" si="48"/>
        <v>6329</v>
      </c>
      <c r="BD45" s="2">
        <f t="shared" si="48"/>
        <v>2770</v>
      </c>
      <c r="BE45" s="2">
        <f t="shared" si="48"/>
        <v>6349</v>
      </c>
      <c r="BF45" s="2">
        <f t="shared" si="48"/>
        <v>8735</v>
      </c>
      <c r="BG45" s="2">
        <f t="shared" si="48"/>
        <v>-5662</v>
      </c>
      <c r="BH45" s="2">
        <f t="shared" ref="BH45" si="49">+BH43-BH44</f>
        <v>570</v>
      </c>
      <c r="BI45" s="2">
        <f t="shared" ref="BI45:BK45" si="50">+BI43-BI44</f>
        <v>8765</v>
      </c>
      <c r="BJ45" s="2">
        <f t="shared" si="50"/>
        <v>86312.7</v>
      </c>
      <c r="BK45" s="2">
        <f t="shared" si="50"/>
        <v>175888.31</v>
      </c>
      <c r="BL45" s="2">
        <f t="shared" ref="BL45:BR45" si="51">+BL43-BL44</f>
        <v>176759.00495999999</v>
      </c>
      <c r="BM45" s="2">
        <f t="shared" si="51"/>
        <v>152089.31895936001</v>
      </c>
      <c r="BN45" s="2">
        <f t="shared" si="51"/>
        <v>88074.666200309759</v>
      </c>
      <c r="BO45" s="2">
        <f t="shared" si="51"/>
        <v>63767.53290124271</v>
      </c>
      <c r="BP45" s="2">
        <f t="shared" si="51"/>
        <v>58677.356466642443</v>
      </c>
      <c r="BQ45" s="2">
        <f t="shared" si="51"/>
        <v>54098.297908657951</v>
      </c>
      <c r="BR45" s="2">
        <f t="shared" si="51"/>
        <v>49978.724493462199</v>
      </c>
      <c r="BS45" s="2">
        <f t="shared" ref="BS45:DH45" si="52">BR45*(1+$BU$52)</f>
        <v>49478.937248527574</v>
      </c>
      <c r="BT45" s="2">
        <f t="shared" si="52"/>
        <v>48984.147876042298</v>
      </c>
      <c r="BU45" s="2">
        <f t="shared" si="52"/>
        <v>48494.306397281871</v>
      </c>
      <c r="BV45" s="2">
        <f t="shared" si="52"/>
        <v>48009.363333309055</v>
      </c>
      <c r="BW45" s="2">
        <f t="shared" si="52"/>
        <v>47529.269699975965</v>
      </c>
      <c r="BX45" s="2">
        <f t="shared" si="52"/>
        <v>47053.977002976208</v>
      </c>
      <c r="BY45" s="2">
        <f t="shared" si="52"/>
        <v>46583.437232946446</v>
      </c>
      <c r="BZ45" s="2">
        <f t="shared" si="52"/>
        <v>46117.602860616978</v>
      </c>
      <c r="CA45" s="2">
        <f t="shared" si="52"/>
        <v>45656.426832010809</v>
      </c>
      <c r="CB45" s="2">
        <f t="shared" si="52"/>
        <v>45199.862563690702</v>
      </c>
      <c r="CC45" s="2">
        <f t="shared" si="52"/>
        <v>44747.863938053793</v>
      </c>
      <c r="CD45" s="2">
        <f t="shared" si="52"/>
        <v>44300.385298673253</v>
      </c>
      <c r="CE45" s="2">
        <f t="shared" si="52"/>
        <v>43857.381445686522</v>
      </c>
      <c r="CF45" s="2">
        <f t="shared" si="52"/>
        <v>43418.807631229654</v>
      </c>
      <c r="CG45" s="2">
        <f t="shared" si="52"/>
        <v>42984.619554917357</v>
      </c>
      <c r="CH45" s="2">
        <f t="shared" si="52"/>
        <v>42554.773359368184</v>
      </c>
      <c r="CI45" s="2">
        <f t="shared" si="52"/>
        <v>42129.225625774503</v>
      </c>
      <c r="CJ45" s="2">
        <f t="shared" si="52"/>
        <v>41707.933369516759</v>
      </c>
      <c r="CK45" s="2">
        <f t="shared" si="52"/>
        <v>41290.854035821591</v>
      </c>
      <c r="CL45" s="2">
        <f t="shared" si="52"/>
        <v>40877.945495463377</v>
      </c>
      <c r="CM45" s="2">
        <f t="shared" si="52"/>
        <v>40469.166040508746</v>
      </c>
      <c r="CN45" s="2">
        <f t="shared" si="52"/>
        <v>40064.47438010366</v>
      </c>
      <c r="CO45" s="2">
        <f t="shared" si="52"/>
        <v>39663.829636302624</v>
      </c>
      <c r="CP45" s="2">
        <f t="shared" si="52"/>
        <v>39267.1913399396</v>
      </c>
      <c r="CQ45" s="2">
        <f t="shared" si="52"/>
        <v>38874.519426540202</v>
      </c>
      <c r="CR45" s="2">
        <f t="shared" si="52"/>
        <v>38485.774232274802</v>
      </c>
      <c r="CS45" s="2">
        <f t="shared" si="52"/>
        <v>38100.916489952055</v>
      </c>
      <c r="CT45" s="2">
        <f t="shared" si="52"/>
        <v>37719.907325052533</v>
      </c>
      <c r="CU45" s="2">
        <f t="shared" si="52"/>
        <v>37342.708251802003</v>
      </c>
      <c r="CV45" s="2">
        <f t="shared" si="52"/>
        <v>36969.281169283982</v>
      </c>
      <c r="CW45" s="2">
        <f t="shared" si="52"/>
        <v>36599.588357591143</v>
      </c>
      <c r="CX45" s="2">
        <f t="shared" si="52"/>
        <v>36233.592474015233</v>
      </c>
      <c r="CY45" s="2">
        <f t="shared" si="52"/>
        <v>35871.25654927508</v>
      </c>
      <c r="CZ45" s="2">
        <f t="shared" si="52"/>
        <v>35512.543983782329</v>
      </c>
      <c r="DA45" s="2">
        <f t="shared" si="52"/>
        <v>35157.418543944506</v>
      </c>
      <c r="DB45" s="2">
        <f t="shared" si="52"/>
        <v>34805.844358505063</v>
      </c>
      <c r="DC45" s="2">
        <f t="shared" si="52"/>
        <v>34457.785914920009</v>
      </c>
      <c r="DD45" s="2">
        <f t="shared" si="52"/>
        <v>34113.20805577081</v>
      </c>
      <c r="DE45" s="2">
        <f t="shared" si="52"/>
        <v>33772.075975213105</v>
      </c>
      <c r="DF45" s="2">
        <f t="shared" si="52"/>
        <v>33434.355215460972</v>
      </c>
      <c r="DG45" s="2">
        <f t="shared" si="52"/>
        <v>33100.011663306359</v>
      </c>
      <c r="DH45" s="2">
        <f t="shared" si="52"/>
        <v>32769.011546673297</v>
      </c>
    </row>
    <row r="46" spans="2:112" x14ac:dyDescent="0.25">
      <c r="B46" s="2" t="s">
        <v>18</v>
      </c>
      <c r="E46" s="8">
        <f t="shared" ref="E46:L46" si="53">+E45/E47</f>
        <v>1.3535262206148282</v>
      </c>
      <c r="F46" s="8">
        <f t="shared" si="53"/>
        <v>-0.24657534246575341</v>
      </c>
      <c r="G46" s="8">
        <f t="shared" si="53"/>
        <v>-2.0174152153987168</v>
      </c>
      <c r="H46" s="8" t="e">
        <f t="shared" si="53"/>
        <v>#DIV/0!</v>
      </c>
      <c r="I46" s="8">
        <f t="shared" si="53"/>
        <v>-1.2538812785388127</v>
      </c>
      <c r="J46" s="8">
        <f t="shared" si="53"/>
        <v>-1.1490909090909092</v>
      </c>
      <c r="K46" s="8">
        <f t="shared" si="53"/>
        <v>-0.6077199281867145</v>
      </c>
      <c r="L46" s="8">
        <f t="shared" si="53"/>
        <v>0.27070347284060553</v>
      </c>
      <c r="M46" s="8">
        <f t="shared" ref="M46" si="54">+M45/M47</f>
        <v>0.94364937388193204</v>
      </c>
      <c r="N46" s="8">
        <f t="shared" ref="N46" si="55">+N45/N47</f>
        <v>1.6737967914438503</v>
      </c>
      <c r="O46" s="8">
        <f t="shared" ref="O46" si="56">+O45/O47</f>
        <v>1.4238646482635797</v>
      </c>
      <c r="P46" s="8">
        <f t="shared" ref="P46" si="57">+P45/P47</f>
        <v>1.7795555555555556</v>
      </c>
      <c r="Q46" s="8">
        <f t="shared" ref="Q46" si="58">+Q45/Q47</f>
        <v>2.9208888888888889</v>
      </c>
      <c r="R46" s="8">
        <f t="shared" ref="R46" si="59">+R45/R47</f>
        <v>4.72231985940246</v>
      </c>
      <c r="S46" s="8">
        <f t="shared" ref="S46:Y46" si="60">+S45/S47</f>
        <v>12.183012259194395</v>
      </c>
      <c r="T46" s="8">
        <f t="shared" si="60"/>
        <v>24.951965065502183</v>
      </c>
      <c r="U46" s="8">
        <f t="shared" si="60"/>
        <v>33.585764192139735</v>
      </c>
      <c r="V46" s="8">
        <f t="shared" si="60"/>
        <v>35.14434497816594</v>
      </c>
      <c r="W46" s="8">
        <f t="shared" si="60"/>
        <v>37.2014192139738</v>
      </c>
      <c r="X46" s="8">
        <f t="shared" si="60"/>
        <v>39.599235807860261</v>
      </c>
      <c r="Y46" s="8">
        <f t="shared" si="60"/>
        <v>41.719410480349346</v>
      </c>
      <c r="BA46" s="1">
        <f t="shared" ref="BA46:BK46" si="61">+BA45/BA47</f>
        <v>4.4107452339688038</v>
      </c>
      <c r="BB46" s="1">
        <f t="shared" si="61"/>
        <v>11.503661513425548</v>
      </c>
      <c r="BC46" s="1">
        <f t="shared" si="61"/>
        <v>5.5371828521434825</v>
      </c>
      <c r="BD46" s="1">
        <f t="shared" si="61"/>
        <v>2.4491600353669321</v>
      </c>
      <c r="BE46" s="1">
        <f t="shared" si="61"/>
        <v>5.5644171779141107</v>
      </c>
      <c r="BF46" s="1">
        <f t="shared" si="61"/>
        <v>7.785204991087344</v>
      </c>
      <c r="BG46" s="1">
        <f t="shared" si="61"/>
        <v>-5.1802378774016464</v>
      </c>
      <c r="BH46" s="1">
        <f t="shared" si="61"/>
        <v>0.50983899821109124</v>
      </c>
      <c r="BI46" s="1">
        <f t="shared" si="61"/>
        <v>7.7911111111111113</v>
      </c>
      <c r="BJ46" s="1">
        <f t="shared" si="61"/>
        <v>75.547221006564556</v>
      </c>
      <c r="BK46" s="1">
        <f t="shared" si="61"/>
        <v>153.61424454148471</v>
      </c>
      <c r="BL46" s="1">
        <f t="shared" ref="BL46:BR46" si="62">+BL45/BL47</f>
        <v>154.3746768209607</v>
      </c>
      <c r="BM46" s="1">
        <f t="shared" si="62"/>
        <v>132.82909952782535</v>
      </c>
      <c r="BN46" s="1">
        <f t="shared" si="62"/>
        <v>76.921105851798913</v>
      </c>
      <c r="BO46" s="1">
        <f t="shared" si="62"/>
        <v>55.692168472701056</v>
      </c>
      <c r="BP46" s="1">
        <f t="shared" si="62"/>
        <v>51.246599534185542</v>
      </c>
      <c r="BQ46" s="1">
        <f t="shared" si="62"/>
        <v>47.247421754286421</v>
      </c>
      <c r="BR46" s="1">
        <f t="shared" si="62"/>
        <v>43.649541042325062</v>
      </c>
    </row>
    <row r="47" spans="2:112" x14ac:dyDescent="0.25">
      <c r="B47" s="2" t="s">
        <v>1</v>
      </c>
      <c r="E47" s="6">
        <v>1106</v>
      </c>
      <c r="F47" s="6">
        <v>1095</v>
      </c>
      <c r="G47" s="6">
        <v>1091</v>
      </c>
      <c r="I47" s="6">
        <v>1095</v>
      </c>
      <c r="J47" s="6">
        <v>1100</v>
      </c>
      <c r="K47" s="6">
        <v>1114</v>
      </c>
      <c r="L47" s="6">
        <v>1123</v>
      </c>
      <c r="M47" s="6">
        <v>1118</v>
      </c>
      <c r="N47" s="6">
        <v>1122</v>
      </c>
      <c r="O47" s="6">
        <v>1123</v>
      </c>
      <c r="P47" s="2">
        <v>1125</v>
      </c>
      <c r="Q47" s="2">
        <f>BI47</f>
        <v>1125</v>
      </c>
      <c r="R47" s="2">
        <v>1138</v>
      </c>
      <c r="S47" s="6">
        <v>1142</v>
      </c>
      <c r="T47" s="6">
        <v>1145</v>
      </c>
      <c r="U47" s="2">
        <f>+T47</f>
        <v>1145</v>
      </c>
      <c r="V47" s="2">
        <f>+U47</f>
        <v>1145</v>
      </c>
      <c r="W47" s="2">
        <f>+V47</f>
        <v>1145</v>
      </c>
      <c r="X47" s="2">
        <f>+W47</f>
        <v>1145</v>
      </c>
      <c r="Y47" s="2">
        <f>+X47</f>
        <v>1145</v>
      </c>
      <c r="BA47" s="2">
        <v>1154</v>
      </c>
      <c r="BB47" s="2">
        <v>1229</v>
      </c>
      <c r="BC47" s="2">
        <v>1143</v>
      </c>
      <c r="BD47" s="2">
        <v>1131</v>
      </c>
      <c r="BE47" s="2">
        <v>1141</v>
      </c>
      <c r="BF47" s="2">
        <v>1122</v>
      </c>
      <c r="BG47" s="2">
        <v>1093</v>
      </c>
      <c r="BH47" s="2">
        <v>1118</v>
      </c>
      <c r="BI47" s="2">
        <v>1125</v>
      </c>
      <c r="BJ47" s="2">
        <f>AVERAGE(R47:U47)</f>
        <v>1142.5</v>
      </c>
      <c r="BK47" s="2">
        <f>AVERAGE(V47:Y47)</f>
        <v>1145</v>
      </c>
      <c r="BL47" s="2">
        <f>+BK47</f>
        <v>1145</v>
      </c>
      <c r="BM47" s="2">
        <f t="shared" ref="BM47:BR47" si="63">+BL47</f>
        <v>1145</v>
      </c>
      <c r="BN47" s="2">
        <f t="shared" si="63"/>
        <v>1145</v>
      </c>
      <c r="BO47" s="2">
        <f t="shared" si="63"/>
        <v>1145</v>
      </c>
      <c r="BP47" s="2">
        <f t="shared" si="63"/>
        <v>1145</v>
      </c>
      <c r="BQ47" s="2">
        <f t="shared" si="63"/>
        <v>1145</v>
      </c>
      <c r="BR47" s="2">
        <f t="shared" si="63"/>
        <v>1145</v>
      </c>
    </row>
    <row r="50" spans="2:73" s="18" customFormat="1" ht="13" x14ac:dyDescent="0.3">
      <c r="B50" s="9" t="s">
        <v>32</v>
      </c>
      <c r="C50" s="17"/>
      <c r="D50" s="17"/>
      <c r="E50" s="17"/>
      <c r="F50" s="17"/>
      <c r="G50" s="17"/>
      <c r="H50" s="17"/>
      <c r="I50" s="12">
        <f>+I30/E30-1</f>
        <v>-0.39635706758994427</v>
      </c>
      <c r="J50" s="12">
        <f>+J30/F30-1</f>
        <v>0.1569155446756425</v>
      </c>
      <c r="K50" s="12">
        <f>+K30/G30-1</f>
        <v>0.57703763877606273</v>
      </c>
      <c r="L50" s="12">
        <f>+L30/H30-1</f>
        <v>0.81529850746268662</v>
      </c>
      <c r="M50" s="12">
        <f>+M30/I30-1</f>
        <v>0.93266832917705744</v>
      </c>
      <c r="N50" s="12">
        <f t="shared" ref="N50:U50" si="64">+N30/J30-1</f>
        <v>0.84278459585272958</v>
      </c>
      <c r="O50" s="12">
        <f t="shared" si="64"/>
        <v>0.38272664835164827</v>
      </c>
      <c r="P50" s="12">
        <f t="shared" si="64"/>
        <v>0.36558508295404502</v>
      </c>
      <c r="Q50" s="12">
        <f t="shared" si="64"/>
        <v>0.45999999999999996</v>
      </c>
      <c r="R50" s="12">
        <f t="shared" si="64"/>
        <v>0.56654036054656109</v>
      </c>
      <c r="S50" s="12">
        <f t="shared" si="64"/>
        <v>1.9628709797590962</v>
      </c>
      <c r="T50" s="12">
        <f t="shared" si="64"/>
        <v>3.457155144608107</v>
      </c>
      <c r="U50" s="12">
        <f t="shared" si="64"/>
        <v>3.8608042421564299</v>
      </c>
      <c r="V50" s="12">
        <f t="shared" ref="V50" si="65">+V30/R30-1</f>
        <v>3.2124166239096974</v>
      </c>
      <c r="W50" s="12">
        <f t="shared" ref="W50" si="66">+W30/S30-1</f>
        <v>1.5452640402347027</v>
      </c>
      <c r="X50" s="12">
        <f t="shared" ref="X50" si="67">+X30/T30-1</f>
        <v>0.55659011964492477</v>
      </c>
      <c r="Y50" s="12">
        <f t="shared" ref="Y50" si="68">+Y30/U30-1</f>
        <v>0.23436363636363633</v>
      </c>
      <c r="AM50" s="19">
        <f t="shared" ref="AM50:AS50" si="69">+AM30/AL30-1</f>
        <v>0.19389725762842791</v>
      </c>
      <c r="AN50" s="19">
        <f t="shared" si="69"/>
        <v>0.42478162406988029</v>
      </c>
      <c r="AO50" s="19">
        <f t="shared" si="69"/>
        <v>0.10808356039963662</v>
      </c>
      <c r="AP50" s="19">
        <f t="shared" si="69"/>
        <v>8.0327868852458906E-2</v>
      </c>
      <c r="AQ50" s="19">
        <f t="shared" si="69"/>
        <v>7.8907435508345891E-2</v>
      </c>
      <c r="AR50" s="19">
        <f t="shared" si="69"/>
        <v>2.6898734177215111E-2</v>
      </c>
      <c r="AS50" s="19">
        <f t="shared" si="69"/>
        <v>-0.17770929635336419</v>
      </c>
      <c r="AT50" s="19">
        <f t="shared" ref="AT50:BA50" si="70">+AT30/AS30-1</f>
        <v>0.76597959608577981</v>
      </c>
      <c r="AU50" s="19">
        <f t="shared" si="70"/>
        <v>3.6076397076161282E-2</v>
      </c>
      <c r="AV50" s="19">
        <f t="shared" si="70"/>
        <v>-6.3040509786071897E-2</v>
      </c>
      <c r="AW50" s="19">
        <f t="shared" si="70"/>
        <v>0.10189458343453972</v>
      </c>
      <c r="AX50" s="19">
        <f t="shared" si="70"/>
        <v>0.80293177559792794</v>
      </c>
      <c r="AY50" s="19">
        <f t="shared" si="70"/>
        <v>-1.0147939845946974E-2</v>
      </c>
      <c r="AZ50" s="19">
        <f t="shared" si="70"/>
        <v>-0.23425148221343872</v>
      </c>
      <c r="BA50" s="19">
        <f t="shared" si="70"/>
        <v>0.63900314541495273</v>
      </c>
      <c r="BB50" s="19">
        <f t="shared" ref="BB50:BH50" si="71">+BB30/BA30-1</f>
        <v>0.49547288652691668</v>
      </c>
      <c r="BC50" s="19">
        <f t="shared" si="71"/>
        <v>-0.22983778092198348</v>
      </c>
      <c r="BD50" s="19">
        <f t="shared" si="71"/>
        <v>-8.4209177134068169E-2</v>
      </c>
      <c r="BE50" s="19">
        <f t="shared" si="71"/>
        <v>0.29251224632610207</v>
      </c>
      <c r="BF50" s="19">
        <f t="shared" si="71"/>
        <v>0.11019671539433307</v>
      </c>
      <c r="BG50" s="19">
        <f t="shared" si="71"/>
        <v>-0.4947655894401457</v>
      </c>
      <c r="BH50" s="19">
        <f t="shared" si="71"/>
        <v>0.61589446589446584</v>
      </c>
      <c r="BI50" s="19">
        <f>+BI30/BH30-1</f>
        <v>0.48851101111066852</v>
      </c>
      <c r="BJ50" s="19">
        <f t="shared" ref="BJ50:BR50" si="72">+BJ30/BI30-1</f>
        <v>2.5838996200973834</v>
      </c>
      <c r="BK50" s="19">
        <f t="shared" si="72"/>
        <v>0.87087093812285854</v>
      </c>
      <c r="BL50" s="19">
        <f t="shared" si="72"/>
        <v>5.0000000000000044E-2</v>
      </c>
      <c r="BM50" s="19">
        <f t="shared" si="72"/>
        <v>-9.9999999999999978E-2</v>
      </c>
      <c r="BN50" s="19">
        <f t="shared" si="72"/>
        <v>-9.9999999999999978E-2</v>
      </c>
      <c r="BO50" s="19">
        <f t="shared" si="72"/>
        <v>-0.30000000000000004</v>
      </c>
      <c r="BP50" s="19">
        <f t="shared" si="72"/>
        <v>-9.9999999999999978E-2</v>
      </c>
      <c r="BQ50" s="19">
        <f t="shared" si="72"/>
        <v>-9.9999999999999978E-2</v>
      </c>
      <c r="BR50" s="19">
        <f t="shared" si="72"/>
        <v>-9.9999999999999978E-2</v>
      </c>
    </row>
    <row r="51" spans="2:73" ht="13" x14ac:dyDescent="0.3">
      <c r="B51" s="2" t="s">
        <v>31</v>
      </c>
      <c r="E51" s="7">
        <f t="shared" ref="E51:U51" si="73">+E32/E30</f>
        <v>0.39470118922173719</v>
      </c>
      <c r="F51" s="7">
        <f t="shared" si="73"/>
        <v>0.21860465116279071</v>
      </c>
      <c r="G51" s="12">
        <f t="shared" si="73"/>
        <v>-0.32656376929325753</v>
      </c>
      <c r="H51" s="12">
        <f t="shared" si="73"/>
        <v>-0.17803837953091683</v>
      </c>
      <c r="I51" s="12">
        <f t="shared" si="73"/>
        <v>-0.10847880299251871</v>
      </c>
      <c r="J51" s="12">
        <f t="shared" si="73"/>
        <v>-7.4058400338552688E-3</v>
      </c>
      <c r="K51" s="7">
        <f t="shared" si="73"/>
        <v>0.18526785714285715</v>
      </c>
      <c r="L51" s="7">
        <f t="shared" si="73"/>
        <v>0.26897665541036558</v>
      </c>
      <c r="M51" s="7">
        <f t="shared" si="73"/>
        <v>0.35316129032258065</v>
      </c>
      <c r="N51" s="7">
        <f t="shared" si="73"/>
        <v>0.38442990010334138</v>
      </c>
      <c r="O51" s="7">
        <f t="shared" si="73"/>
        <v>0.36793741462808893</v>
      </c>
      <c r="P51" s="7">
        <f t="shared" si="73"/>
        <v>0.37716374583378132</v>
      </c>
      <c r="Q51" s="7">
        <f t="shared" si="73"/>
        <v>0.44666372072470173</v>
      </c>
      <c r="R51" s="7">
        <f t="shared" si="73"/>
        <v>0.56043392215788312</v>
      </c>
      <c r="S51" s="7">
        <f t="shared" si="73"/>
        <v>0.74413243922883487</v>
      </c>
      <c r="T51" s="7">
        <f t="shared" si="73"/>
        <v>0.84561945194905441</v>
      </c>
      <c r="U51" s="7">
        <f t="shared" si="73"/>
        <v>0.85</v>
      </c>
      <c r="V51" s="7">
        <f t="shared" ref="V51:Y51" si="74">+V32/V30</f>
        <v>0.85</v>
      </c>
      <c r="W51" s="7">
        <f t="shared" si="74"/>
        <v>0.85</v>
      </c>
      <c r="X51" s="7">
        <f t="shared" si="74"/>
        <v>0.85</v>
      </c>
      <c r="Y51" s="7">
        <f t="shared" si="74"/>
        <v>0.85</v>
      </c>
      <c r="AL51" s="7">
        <f t="shared" ref="AL51:AR51" si="75">+AL32/AL30</f>
        <v>-4.287369640787949E-2</v>
      </c>
      <c r="AM51" s="7">
        <f t="shared" si="75"/>
        <v>-6.7939178259462957E-3</v>
      </c>
      <c r="AN51" s="7">
        <f t="shared" si="75"/>
        <v>0.29836512261580383</v>
      </c>
      <c r="AO51" s="7">
        <f t="shared" si="75"/>
        <v>0.23483606557377049</v>
      </c>
      <c r="AP51" s="7">
        <f t="shared" si="75"/>
        <v>0.22761760242792109</v>
      </c>
      <c r="AQ51" s="7">
        <f t="shared" si="75"/>
        <v>0.18952180028129395</v>
      </c>
      <c r="AR51" s="7">
        <f t="shared" si="75"/>
        <v>-9.4161958568738224E-3</v>
      </c>
      <c r="AS51" s="7">
        <f t="shared" ref="AS51:AZ51" si="76">+AS32/AS30</f>
        <v>-9.1609410784926085E-2</v>
      </c>
      <c r="AT51" s="7">
        <f t="shared" si="76"/>
        <v>0.31997170478660691</v>
      </c>
      <c r="AU51" s="7">
        <f t="shared" si="76"/>
        <v>0.20004551661356396</v>
      </c>
      <c r="AV51" s="7">
        <f t="shared" si="76"/>
        <v>0.11756133106631042</v>
      </c>
      <c r="AW51" s="7">
        <f t="shared" si="76"/>
        <v>0.2035710349388295</v>
      </c>
      <c r="AX51" s="7">
        <f t="shared" si="76"/>
        <v>0.33237559603863553</v>
      </c>
      <c r="AY51" s="7">
        <f t="shared" si="76"/>
        <v>0.32207262845849804</v>
      </c>
      <c r="AZ51" s="7">
        <f t="shared" si="76"/>
        <v>0.20203242196951368</v>
      </c>
      <c r="BA51" s="7">
        <f t="shared" ref="BA51:BC51" si="77">+BA32/BA30</f>
        <v>0.41511662237968705</v>
      </c>
      <c r="BB51" s="7">
        <f t="shared" si="77"/>
        <v>0.588694021256293</v>
      </c>
      <c r="BC51" s="7">
        <f t="shared" si="77"/>
        <v>0.45723318807143465</v>
      </c>
      <c r="BD51" s="7">
        <f t="shared" ref="BD51:BR51" si="78">+BD32/BD30</f>
        <v>0.30566829951014696</v>
      </c>
      <c r="BE51" s="7">
        <f t="shared" si="78"/>
        <v>0.37621367984118392</v>
      </c>
      <c r="BF51" s="7">
        <f t="shared" si="78"/>
        <v>0.45184992522270628</v>
      </c>
      <c r="BG51" s="7">
        <f t="shared" si="78"/>
        <v>-9.1119691119691121E-2</v>
      </c>
      <c r="BH51" s="7">
        <f t="shared" si="78"/>
        <v>0.22352753773246783</v>
      </c>
      <c r="BI51" s="7">
        <f t="shared" si="78"/>
        <v>0.39790786023864305</v>
      </c>
      <c r="BJ51" s="7">
        <f t="shared" si="78"/>
        <v>0.80029710583088853</v>
      </c>
      <c r="BK51" s="7">
        <f t="shared" si="78"/>
        <v>0.85</v>
      </c>
      <c r="BL51" s="7">
        <f t="shared" si="78"/>
        <v>0.85</v>
      </c>
      <c r="BM51" s="7">
        <f t="shared" si="78"/>
        <v>0.8</v>
      </c>
      <c r="BN51" s="7">
        <f t="shared" si="78"/>
        <v>0.5</v>
      </c>
      <c r="BO51" s="7">
        <f t="shared" si="78"/>
        <v>0.5</v>
      </c>
      <c r="BP51" s="7">
        <f t="shared" si="78"/>
        <v>0.5</v>
      </c>
      <c r="BQ51" s="7">
        <f t="shared" si="78"/>
        <v>0.5</v>
      </c>
      <c r="BR51" s="7">
        <f t="shared" si="78"/>
        <v>0.5</v>
      </c>
      <c r="BT51" t="s">
        <v>212</v>
      </c>
      <c r="BU51" s="21">
        <v>0.02</v>
      </c>
    </row>
    <row r="52" spans="2:73" ht="13" x14ac:dyDescent="0.3">
      <c r="BT52" s="18" t="s">
        <v>207</v>
      </c>
      <c r="BU52" s="19">
        <v>-0.01</v>
      </c>
    </row>
    <row r="53" spans="2:73" ht="13" x14ac:dyDescent="0.3">
      <c r="B53" t="s">
        <v>213</v>
      </c>
      <c r="N53" s="2">
        <f t="shared" ref="N53:Q53" si="79">+N54-N66</f>
        <v>-5041</v>
      </c>
      <c r="O53" s="2">
        <f t="shared" si="79"/>
        <v>-4765</v>
      </c>
      <c r="P53" s="2">
        <f t="shared" si="79"/>
        <v>-3328</v>
      </c>
      <c r="Q53" s="2">
        <f t="shared" si="79"/>
        <v>-2641</v>
      </c>
      <c r="R53" s="2">
        <f t="shared" ref="R53:S53" si="80">+R54-R66</f>
        <v>259</v>
      </c>
      <c r="S53" s="2">
        <f t="shared" si="80"/>
        <v>6485</v>
      </c>
      <c r="T53" s="2">
        <f>+T54-T66</f>
        <v>24406</v>
      </c>
      <c r="BT53" s="18"/>
      <c r="BU53" s="19"/>
    </row>
    <row r="54" spans="2:73" x14ac:dyDescent="0.25">
      <c r="B54" t="s">
        <v>3</v>
      </c>
      <c r="N54" s="6">
        <f>6693+895+1156</f>
        <v>8744</v>
      </c>
      <c r="O54" s="2">
        <f>7552+663+1375</f>
        <v>9590</v>
      </c>
      <c r="P54" s="2">
        <f>10163+1402+648</f>
        <v>12213</v>
      </c>
      <c r="Q54" s="2">
        <f>9642+665+1629</f>
        <v>11936</v>
      </c>
      <c r="R54" s="2">
        <f>9731+587+1697</f>
        <v>12015</v>
      </c>
      <c r="S54" s="2">
        <f>13908+681+2038</f>
        <v>16627</v>
      </c>
      <c r="T54" s="2">
        <f>24995+1027+4106</f>
        <v>30128</v>
      </c>
      <c r="BJ54" s="2">
        <f>+T54+10000</f>
        <v>40128</v>
      </c>
      <c r="BK54" s="2">
        <f t="shared" ref="BK54:BR54" si="81">+BJ54+BK45</f>
        <v>216016.31</v>
      </c>
      <c r="BL54" s="2">
        <f t="shared" si="81"/>
        <v>392775.31495999999</v>
      </c>
      <c r="BM54" s="2">
        <f t="shared" si="81"/>
        <v>544864.63391936</v>
      </c>
      <c r="BN54" s="2">
        <f t="shared" si="81"/>
        <v>632939.30011966976</v>
      </c>
      <c r="BO54" s="2">
        <f t="shared" si="81"/>
        <v>696706.83302091248</v>
      </c>
      <c r="BP54" s="2">
        <f t="shared" si="81"/>
        <v>755384.18948755495</v>
      </c>
      <c r="BQ54" s="2">
        <f t="shared" si="81"/>
        <v>809482.48739621288</v>
      </c>
      <c r="BR54" s="2">
        <f t="shared" si="81"/>
        <v>859461.21188967512</v>
      </c>
      <c r="BT54" t="s">
        <v>208</v>
      </c>
      <c r="BU54" s="21">
        <v>0.06</v>
      </c>
    </row>
    <row r="55" spans="2:73" x14ac:dyDescent="0.25">
      <c r="B55" t="s">
        <v>156</v>
      </c>
      <c r="N55" s="6">
        <v>7423</v>
      </c>
      <c r="O55" s="2">
        <v>6504</v>
      </c>
      <c r="P55" s="2">
        <v>7436</v>
      </c>
      <c r="Q55" s="2">
        <v>9265</v>
      </c>
      <c r="R55" s="2">
        <v>10184</v>
      </c>
      <c r="S55" s="2">
        <v>17314</v>
      </c>
      <c r="T55" s="2">
        <v>31025</v>
      </c>
      <c r="BT55" t="s">
        <v>209</v>
      </c>
      <c r="BU55" s="2">
        <f>NPV(BU54,BL45:CR45)+BK45+Main!J5-Main!J6</f>
        <v>1133507.3805212295</v>
      </c>
    </row>
    <row r="56" spans="2:73" x14ac:dyDescent="0.25">
      <c r="B56" t="s">
        <v>155</v>
      </c>
      <c r="N56" s="6">
        <v>8705</v>
      </c>
      <c r="O56" s="2">
        <v>9007</v>
      </c>
      <c r="P56" s="2">
        <v>8727</v>
      </c>
      <c r="Q56" s="2">
        <v>8355</v>
      </c>
      <c r="R56" s="2">
        <v>8205</v>
      </c>
      <c r="S56" s="2">
        <v>8267</v>
      </c>
      <c r="T56" s="2">
        <v>8567</v>
      </c>
      <c r="BT56" t="s">
        <v>210</v>
      </c>
      <c r="BU56" s="1">
        <f>+BU55/Main!J3</f>
        <v>989.96277774779867</v>
      </c>
    </row>
    <row r="57" spans="2:73" x14ac:dyDescent="0.25">
      <c r="B57" t="s">
        <v>157</v>
      </c>
      <c r="N57" s="6">
        <v>777</v>
      </c>
      <c r="O57" s="2">
        <v>963</v>
      </c>
      <c r="P57" s="2">
        <v>945</v>
      </c>
      <c r="Q57" s="2">
        <v>914</v>
      </c>
      <c r="R57" s="2">
        <v>958</v>
      </c>
      <c r="S57" s="2">
        <v>1243</v>
      </c>
      <c r="T57" s="2">
        <v>1123</v>
      </c>
    </row>
    <row r="58" spans="2:73" x14ac:dyDescent="0.25">
      <c r="B58" t="s">
        <v>158</v>
      </c>
      <c r="N58" s="6">
        <v>41476</v>
      </c>
      <c r="O58" s="2">
        <v>42528</v>
      </c>
      <c r="P58" s="2">
        <v>44773</v>
      </c>
      <c r="Q58" s="2">
        <v>46590</v>
      </c>
      <c r="R58" s="2">
        <v>48477</v>
      </c>
      <c r="S58" s="2">
        <v>51408</v>
      </c>
      <c r="T58" s="2">
        <v>56426</v>
      </c>
    </row>
    <row r="59" spans="2:73" x14ac:dyDescent="0.25">
      <c r="B59" t="s">
        <v>159</v>
      </c>
      <c r="N59" s="6">
        <v>622</v>
      </c>
      <c r="O59" s="2">
        <v>637</v>
      </c>
      <c r="P59" s="2">
        <v>628</v>
      </c>
      <c r="Q59" s="2">
        <v>736</v>
      </c>
      <c r="R59" s="2">
        <v>700</v>
      </c>
      <c r="S59" s="2">
        <v>684</v>
      </c>
      <c r="T59" s="2">
        <v>683</v>
      </c>
    </row>
    <row r="60" spans="2:73" x14ac:dyDescent="0.25">
      <c r="B60" t="s">
        <v>160</v>
      </c>
      <c r="N60" s="6">
        <f>419+1150</f>
        <v>1569</v>
      </c>
      <c r="O60" s="2">
        <f>423+1150</f>
        <v>1573</v>
      </c>
      <c r="P60" s="2">
        <f>426+1150</f>
        <v>1576</v>
      </c>
      <c r="Q60" s="2">
        <f>453+1150</f>
        <v>1603</v>
      </c>
      <c r="R60" s="2">
        <f>465+1150</f>
        <v>1615</v>
      </c>
      <c r="S60" s="2">
        <f>468+1150</f>
        <v>1618</v>
      </c>
      <c r="T60" s="2">
        <f>473+1150</f>
        <v>1623</v>
      </c>
    </row>
    <row r="61" spans="2:73" x14ac:dyDescent="0.25">
      <c r="B61" t="s">
        <v>161</v>
      </c>
      <c r="N61" s="6">
        <v>474</v>
      </c>
      <c r="O61" s="2">
        <v>552</v>
      </c>
      <c r="P61" s="2">
        <v>483</v>
      </c>
      <c r="Q61" s="2">
        <v>616</v>
      </c>
      <c r="R61" s="2">
        <v>641</v>
      </c>
      <c r="S61" s="2">
        <v>680</v>
      </c>
      <c r="T61" s="2">
        <v>700</v>
      </c>
    </row>
    <row r="62" spans="2:73" x14ac:dyDescent="0.25">
      <c r="B62" t="s">
        <v>162</v>
      </c>
      <c r="N62" s="6">
        <v>1671</v>
      </c>
      <c r="O62" s="2">
        <v>1699</v>
      </c>
      <c r="P62" s="2">
        <v>1616</v>
      </c>
      <c r="Q62" s="2">
        <v>2783</v>
      </c>
      <c r="R62" s="2">
        <v>3176</v>
      </c>
      <c r="S62" s="2">
        <v>3668</v>
      </c>
      <c r="T62" s="2">
        <v>3837</v>
      </c>
    </row>
    <row r="63" spans="2:73" x14ac:dyDescent="0.25">
      <c r="B63" t="s">
        <v>163</v>
      </c>
      <c r="N63" s="2">
        <f t="shared" ref="N63:R63" si="82">SUM(N54:N62)</f>
        <v>71461</v>
      </c>
      <c r="O63" s="2">
        <f t="shared" si="82"/>
        <v>73053</v>
      </c>
      <c r="P63" s="2">
        <f t="shared" si="82"/>
        <v>78397</v>
      </c>
      <c r="Q63" s="2">
        <f t="shared" si="82"/>
        <v>82798</v>
      </c>
      <c r="R63" s="2">
        <f t="shared" ref="R63:S63" si="83">SUM(R54:R62)</f>
        <v>85971</v>
      </c>
      <c r="S63" s="2">
        <f t="shared" si="83"/>
        <v>101509</v>
      </c>
      <c r="T63" s="2">
        <f>SUM(T54:T62)</f>
        <v>134112</v>
      </c>
    </row>
    <row r="65" spans="2:59" x14ac:dyDescent="0.25">
      <c r="B65" t="s">
        <v>164</v>
      </c>
      <c r="N65" s="6">
        <v>7126</v>
      </c>
      <c r="O65" s="2">
        <v>6176</v>
      </c>
      <c r="P65" s="2">
        <v>8761</v>
      </c>
      <c r="Q65" s="2">
        <v>9649</v>
      </c>
      <c r="R65" s="2">
        <v>9796</v>
      </c>
      <c r="S65" s="2">
        <v>10997</v>
      </c>
      <c r="T65" s="2">
        <v>15521</v>
      </c>
    </row>
    <row r="66" spans="2:59" x14ac:dyDescent="0.25">
      <c r="B66" t="s">
        <v>4</v>
      </c>
      <c r="N66" s="6">
        <f>533+13252</f>
        <v>13785</v>
      </c>
      <c r="O66" s="2">
        <f>504+13851</f>
        <v>14355</v>
      </c>
      <c r="P66" s="2">
        <f>538+15003</f>
        <v>15541</v>
      </c>
      <c r="Q66" s="2">
        <f>560+14017</f>
        <v>14577</v>
      </c>
      <c r="R66" s="2">
        <f>569+11187</f>
        <v>11756</v>
      </c>
      <c r="S66" s="2">
        <f>585+9557</f>
        <v>10142</v>
      </c>
      <c r="T66" s="2">
        <f>582+5140</f>
        <v>5722</v>
      </c>
    </row>
    <row r="67" spans="2:59" x14ac:dyDescent="0.25">
      <c r="B67" t="s">
        <v>165</v>
      </c>
      <c r="N67" s="6">
        <v>1356</v>
      </c>
      <c r="O67" s="2">
        <v>1197</v>
      </c>
      <c r="P67" s="2">
        <v>836</v>
      </c>
      <c r="Q67" s="2">
        <v>1245</v>
      </c>
      <c r="R67" s="2">
        <v>1695</v>
      </c>
      <c r="S67" s="2">
        <v>2714</v>
      </c>
      <c r="T67" s="2">
        <v>3385</v>
      </c>
    </row>
    <row r="68" spans="2:59" x14ac:dyDescent="0.25">
      <c r="B68" t="s">
        <v>159</v>
      </c>
      <c r="N68" s="6">
        <v>588</v>
      </c>
      <c r="O68" s="2">
        <v>599</v>
      </c>
      <c r="P68" s="2">
        <v>600</v>
      </c>
      <c r="Q68" s="2">
        <v>701</v>
      </c>
      <c r="R68" s="2">
        <v>669</v>
      </c>
      <c r="S68" s="2">
        <v>656</v>
      </c>
      <c r="T68" s="2">
        <v>654</v>
      </c>
    </row>
    <row r="69" spans="2:59" x14ac:dyDescent="0.25">
      <c r="B69" t="s">
        <v>43</v>
      </c>
      <c r="N69" s="6">
        <v>570</v>
      </c>
      <c r="O69" s="2">
        <v>836</v>
      </c>
      <c r="P69" s="2">
        <v>603</v>
      </c>
      <c r="Q69" s="2">
        <v>1018</v>
      </c>
      <c r="R69" s="2">
        <v>1148</v>
      </c>
      <c r="S69" s="2">
        <v>1002</v>
      </c>
      <c r="T69" s="2">
        <v>1020</v>
      </c>
    </row>
    <row r="70" spans="2:59" x14ac:dyDescent="0.25">
      <c r="B70" t="s">
        <v>167</v>
      </c>
      <c r="N70" s="6">
        <v>1239</v>
      </c>
      <c r="O70" s="2">
        <v>1257</v>
      </c>
      <c r="P70" s="2">
        <v>1308</v>
      </c>
      <c r="Q70" s="2">
        <v>1443</v>
      </c>
      <c r="R70" s="2">
        <v>2101</v>
      </c>
      <c r="S70" s="2">
        <v>3539</v>
      </c>
      <c r="T70" s="2">
        <v>7086</v>
      </c>
    </row>
    <row r="71" spans="2:59" x14ac:dyDescent="0.25">
      <c r="B71" t="s">
        <v>168</v>
      </c>
      <c r="N71" s="6">
        <v>46797</v>
      </c>
      <c r="O71" s="2">
        <v>48633</v>
      </c>
      <c r="P71" s="2">
        <v>50748</v>
      </c>
      <c r="Q71" s="2">
        <v>54165</v>
      </c>
      <c r="R71" s="2">
        <v>58806</v>
      </c>
      <c r="S71" s="2">
        <v>72459</v>
      </c>
      <c r="T71" s="2">
        <v>100724</v>
      </c>
    </row>
    <row r="72" spans="2:59" x14ac:dyDescent="0.25">
      <c r="B72" t="s">
        <v>166</v>
      </c>
      <c r="N72" s="6">
        <f>SUM(N65:N71)</f>
        <v>71461</v>
      </c>
      <c r="O72" s="6">
        <f>SUM(O65:O71)</f>
        <v>73053</v>
      </c>
      <c r="P72" s="6">
        <f>SUM(P65:P71)</f>
        <v>78397</v>
      </c>
      <c r="Q72" s="6">
        <f>SUM(Q65:Q71)</f>
        <v>82798</v>
      </c>
      <c r="R72" s="2">
        <f>SUM(R65:R71)</f>
        <v>85971</v>
      </c>
      <c r="S72" s="2">
        <f t="shared" ref="S72" si="84">SUM(S65:S71)</f>
        <v>101509</v>
      </c>
      <c r="T72" s="2">
        <f>SUM(T65:T71)</f>
        <v>134112</v>
      </c>
    </row>
    <row r="74" spans="2:59" ht="13" x14ac:dyDescent="0.3">
      <c r="B74" t="s">
        <v>34</v>
      </c>
      <c r="F74" s="10">
        <f t="shared" ref="F74:J74" si="85">+F45</f>
        <v>-270</v>
      </c>
      <c r="G74" s="10">
        <f t="shared" si="85"/>
        <v>-2201</v>
      </c>
      <c r="H74" s="10">
        <f t="shared" si="85"/>
        <v>-668</v>
      </c>
      <c r="I74" s="10">
        <f t="shared" si="85"/>
        <v>-1373</v>
      </c>
      <c r="J74" s="10">
        <f>+J45</f>
        <v>-1264</v>
      </c>
      <c r="K74" s="10">
        <f>+K45</f>
        <v>-677</v>
      </c>
      <c r="L74" s="10">
        <f>+L45</f>
        <v>304</v>
      </c>
      <c r="M74" s="10">
        <f t="shared" ref="M74:T74" si="86">+M45</f>
        <v>1055</v>
      </c>
      <c r="N74" s="10">
        <f t="shared" si="86"/>
        <v>1878</v>
      </c>
      <c r="O74" s="10">
        <f t="shared" si="86"/>
        <v>1599</v>
      </c>
      <c r="P74" s="10">
        <f t="shared" si="86"/>
        <v>2002</v>
      </c>
      <c r="Q74" s="10">
        <f t="shared" si="86"/>
        <v>3286</v>
      </c>
      <c r="R74" s="10">
        <f t="shared" si="86"/>
        <v>5374</v>
      </c>
      <c r="S74" s="10">
        <f t="shared" si="86"/>
        <v>13913</v>
      </c>
      <c r="T74" s="10">
        <f t="shared" si="86"/>
        <v>28570</v>
      </c>
    </row>
    <row r="75" spans="2:59" x14ac:dyDescent="0.25">
      <c r="B75" t="s">
        <v>35</v>
      </c>
      <c r="I75" s="6">
        <f>-5833-H75-G75-F75</f>
        <v>-5833</v>
      </c>
      <c r="J75" s="6">
        <v>-1234</v>
      </c>
      <c r="K75" s="6">
        <f>-441-J75</f>
        <v>793</v>
      </c>
      <c r="L75" s="6">
        <f>-109-K75-J75</f>
        <v>332</v>
      </c>
      <c r="M75" s="6">
        <f>778-L75-K75-J75</f>
        <v>887</v>
      </c>
      <c r="N75" s="6">
        <v>1870</v>
      </c>
      <c r="O75" s="2">
        <f>3453-N75</f>
        <v>1583</v>
      </c>
      <c r="P75" s="2">
        <f>5338-O75-N75</f>
        <v>1885</v>
      </c>
      <c r="Q75" s="2">
        <f>8539-P75-O75-N75</f>
        <v>3201</v>
      </c>
      <c r="R75" s="2">
        <v>5240</v>
      </c>
      <c r="S75" s="2">
        <f>19025-R75</f>
        <v>13785</v>
      </c>
      <c r="T75" s="2">
        <f>47268-S75-R75</f>
        <v>28243</v>
      </c>
    </row>
    <row r="76" spans="2:59" x14ac:dyDescent="0.25">
      <c r="B76" t="s">
        <v>36</v>
      </c>
      <c r="I76" s="6">
        <f>7756-H76-G76-F76</f>
        <v>7756</v>
      </c>
      <c r="J76" s="6">
        <v>1915</v>
      </c>
      <c r="K76" s="6">
        <f>3839-J76</f>
        <v>1924</v>
      </c>
      <c r="L76" s="6">
        <f>5794-K76-J76</f>
        <v>1955</v>
      </c>
      <c r="M76" s="6">
        <f>7780-L76-K76-J76</f>
        <v>1986</v>
      </c>
      <c r="N76" s="6">
        <v>2030</v>
      </c>
      <c r="O76" s="2">
        <f>4109-N76</f>
        <v>2079</v>
      </c>
      <c r="P76" s="2">
        <f>6203-O76-N76</f>
        <v>2094</v>
      </c>
      <c r="Q76" s="2">
        <f>8352-P76-O76-N76</f>
        <v>2149</v>
      </c>
      <c r="R76" s="2">
        <v>2212</v>
      </c>
      <c r="S76" s="2">
        <f>4498-R76</f>
        <v>2286</v>
      </c>
      <c r="T76" s="2">
        <f>6862-S76-R76</f>
        <v>2364</v>
      </c>
    </row>
    <row r="77" spans="2:59" x14ac:dyDescent="0.25">
      <c r="B77" t="s">
        <v>37</v>
      </c>
      <c r="I77" s="6"/>
      <c r="J77" s="6">
        <v>188</v>
      </c>
      <c r="K77" s="6">
        <f>401-J77</f>
        <v>213</v>
      </c>
      <c r="L77" s="6">
        <f>620-K77-J77</f>
        <v>219</v>
      </c>
      <c r="M77" s="6">
        <f>833-L77-K77-J77</f>
        <v>213</v>
      </c>
      <c r="N77" s="6">
        <v>220</v>
      </c>
      <c r="O77" s="2">
        <f>469-N77</f>
        <v>249</v>
      </c>
      <c r="P77" s="2">
        <f>722-O77-N77</f>
        <v>253</v>
      </c>
      <c r="Q77" s="2">
        <f>972-P77-O77-N77</f>
        <v>250</v>
      </c>
      <c r="R77" s="2">
        <v>290</v>
      </c>
      <c r="S77" s="2">
        <f>599-R77</f>
        <v>309</v>
      </c>
      <c r="T77" s="2">
        <f>954-S77-R77</f>
        <v>355</v>
      </c>
    </row>
    <row r="78" spans="2:59" x14ac:dyDescent="0.25">
      <c r="B78" t="s">
        <v>38</v>
      </c>
      <c r="I78" s="6"/>
      <c r="J78" s="6">
        <f>-501+111+271+579+72</f>
        <v>532</v>
      </c>
      <c r="K78" s="6">
        <f>-1759-57-799+573+706+157-J78</f>
        <v>-1711</v>
      </c>
      <c r="L78" s="6">
        <f>-2562-125-435+846+769+304-K78-J78</f>
        <v>-24</v>
      </c>
      <c r="M78" s="6">
        <f>-3581-488+1915+989+281-L78-K78-J78</f>
        <v>319</v>
      </c>
      <c r="N78" s="6">
        <f>-817+170-241-161+173</f>
        <v>-876</v>
      </c>
      <c r="O78" s="2">
        <f>338-132-204-714-321+188-N78</f>
        <v>31</v>
      </c>
      <c r="P78" s="2">
        <f>-123+148-206+38-681+356-O78-N78</f>
        <v>377</v>
      </c>
      <c r="Q78" s="2">
        <f>-1776+520+862-272+328-P78-O78-N78</f>
        <v>130</v>
      </c>
      <c r="R78" s="2">
        <f>-871+150+156+449+547+238</f>
        <v>669</v>
      </c>
      <c r="S78" s="2">
        <f>-8298+88+928+1469+2106-101-R78</f>
        <v>-4477</v>
      </c>
      <c r="T78" s="2">
        <f>-19953-212+3329+2139+5203+112-S78-R78</f>
        <v>-5574</v>
      </c>
    </row>
    <row r="79" spans="2:59" x14ac:dyDescent="0.25">
      <c r="B79" t="s">
        <v>39</v>
      </c>
      <c r="I79" s="6"/>
      <c r="J79" s="6">
        <f>SUM(J75:J78)</f>
        <v>1401</v>
      </c>
      <c r="K79" s="6">
        <f>SUM(K75:K78)</f>
        <v>1219</v>
      </c>
      <c r="L79" s="6">
        <f>SUM(L75:L78)</f>
        <v>2482</v>
      </c>
      <c r="M79" s="6">
        <f>SUM(M75:M78)</f>
        <v>3405</v>
      </c>
      <c r="N79" s="2">
        <f t="shared" ref="N79:Q79" si="87">SUM(N75:N78)</f>
        <v>3244</v>
      </c>
      <c r="O79" s="2">
        <f t="shared" si="87"/>
        <v>3942</v>
      </c>
      <c r="P79" s="2">
        <f t="shared" si="87"/>
        <v>4609</v>
      </c>
      <c r="Q79" s="2">
        <f t="shared" si="87"/>
        <v>5730</v>
      </c>
      <c r="R79" s="2">
        <f>SUM(R75:R78)</f>
        <v>8411</v>
      </c>
      <c r="S79" s="2">
        <f>SUM(S75:S78)</f>
        <v>11903</v>
      </c>
      <c r="T79" s="2">
        <f>SUM(T75:T78)</f>
        <v>25388</v>
      </c>
      <c r="AN79" s="2">
        <v>1159</v>
      </c>
      <c r="AO79" s="2">
        <v>1237</v>
      </c>
      <c r="AP79" s="2">
        <v>2019</v>
      </c>
      <c r="AQ79" s="2">
        <v>937</v>
      </c>
      <c r="AR79" s="2">
        <v>1018</v>
      </c>
      <c r="AS79" s="2">
        <v>1206</v>
      </c>
      <c r="AT79" s="2">
        <v>3096</v>
      </c>
      <c r="AU79" s="2">
        <v>2484</v>
      </c>
      <c r="AV79" s="2">
        <v>2114</v>
      </c>
      <c r="AW79" s="2">
        <v>1811</v>
      </c>
      <c r="AX79" s="2">
        <v>5699</v>
      </c>
      <c r="AY79" s="2">
        <v>5208</v>
      </c>
      <c r="AZ79" s="6">
        <v>3168</v>
      </c>
      <c r="BA79" s="2">
        <v>8153</v>
      </c>
      <c r="BB79" s="2">
        <v>17400</v>
      </c>
      <c r="BC79" s="2">
        <v>13189</v>
      </c>
      <c r="BD79" s="2">
        <v>8306</v>
      </c>
      <c r="BE79" s="2">
        <v>12468</v>
      </c>
      <c r="BF79" s="2">
        <v>15181</v>
      </c>
      <c r="BG79" s="2">
        <v>1559</v>
      </c>
    </row>
    <row r="80" spans="2:59" x14ac:dyDescent="0.25">
      <c r="J80" s="6"/>
      <c r="K80" s="6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6"/>
      <c r="BA80" s="2"/>
      <c r="BB80" s="2"/>
      <c r="BC80" s="2"/>
      <c r="BD80" s="2"/>
      <c r="BE80" s="2"/>
      <c r="BF80" s="2"/>
      <c r="BG80" s="2"/>
    </row>
    <row r="81" spans="2:60" x14ac:dyDescent="0.25">
      <c r="B81" t="s">
        <v>51</v>
      </c>
      <c r="J81" s="6">
        <v>-1796</v>
      </c>
      <c r="K81" s="6">
        <f>-3180-J81</f>
        <v>-1384</v>
      </c>
      <c r="L81" s="6">
        <f>-5266-K81-J81</f>
        <v>-2086</v>
      </c>
      <c r="M81" s="6">
        <f>-8386-L81-K81-J81</f>
        <v>-3120</v>
      </c>
      <c r="N81" s="6">
        <v>-3206</v>
      </c>
      <c r="O81" s="2">
        <f>-7261-N81</f>
        <v>-4055</v>
      </c>
      <c r="P81" s="2">
        <f>-10199-O81-N81</f>
        <v>-2938</v>
      </c>
      <c r="Q81" s="2">
        <f>-15857-P81-O81-N81</f>
        <v>-5658</v>
      </c>
      <c r="R81" s="2">
        <v>-5389</v>
      </c>
      <c r="S81" s="2">
        <f>-11776-R81</f>
        <v>-6387</v>
      </c>
      <c r="T81" s="2">
        <f>-19602-S81-R81</f>
        <v>-7826</v>
      </c>
      <c r="AN81" s="2">
        <v>1799</v>
      </c>
      <c r="AO81" s="2">
        <v>1849</v>
      </c>
      <c r="AP81" s="2">
        <v>-1365</v>
      </c>
      <c r="AQ81" s="2">
        <v>-3603</v>
      </c>
      <c r="AR81" s="2">
        <v>-2529</v>
      </c>
      <c r="AS81" s="2">
        <v>-488</v>
      </c>
      <c r="AT81" s="2">
        <v>-616</v>
      </c>
      <c r="AU81" s="2">
        <v>-2550</v>
      </c>
      <c r="AV81" s="2">
        <v>-1699</v>
      </c>
      <c r="AW81" s="2">
        <v>-1442</v>
      </c>
      <c r="AX81" s="2">
        <v>-3107</v>
      </c>
      <c r="AY81" s="2">
        <v>-4021</v>
      </c>
      <c r="AZ81" s="6">
        <v>-5817</v>
      </c>
      <c r="BA81" s="2">
        <v>-4734</v>
      </c>
      <c r="BB81" s="2">
        <v>-8879</v>
      </c>
      <c r="BC81" s="2">
        <v>-9780</v>
      </c>
      <c r="BD81" s="2">
        <v>-8223</v>
      </c>
      <c r="BE81" s="2">
        <v>-10030</v>
      </c>
      <c r="BF81" s="2">
        <v>-12067</v>
      </c>
      <c r="BG81" s="2">
        <v>-7676</v>
      </c>
    </row>
    <row r="82" spans="2:60" x14ac:dyDescent="0.25">
      <c r="B82" t="s">
        <v>42</v>
      </c>
      <c r="J82" s="6">
        <f>-199+374</f>
        <v>175</v>
      </c>
      <c r="K82" s="6">
        <f>-465-J82+726</f>
        <v>86</v>
      </c>
      <c r="L82" s="6">
        <f>-1110+1433-K82-J82</f>
        <v>62</v>
      </c>
      <c r="M82" s="6">
        <f>-1999+1794-L82-K82-J82</f>
        <v>-528</v>
      </c>
      <c r="N82" s="6">
        <f>-377+428</f>
        <v>51</v>
      </c>
      <c r="O82" s="2">
        <f>-816-N82+874</f>
        <v>7</v>
      </c>
      <c r="P82" s="2">
        <f>-1203+1249-O82-N82</f>
        <v>-12</v>
      </c>
      <c r="Q82" s="2">
        <f>-1890+1698-P82-O82-N82</f>
        <v>-238</v>
      </c>
      <c r="R82" s="2">
        <f>-255+268</f>
        <v>13</v>
      </c>
      <c r="S82" s="2">
        <f>-1120+701-R82</f>
        <v>-432</v>
      </c>
      <c r="T82" s="2">
        <f>-4072+1233-S82-R82</f>
        <v>-2420</v>
      </c>
    </row>
    <row r="83" spans="2:60" x14ac:dyDescent="0.25">
      <c r="B83" t="s">
        <v>43</v>
      </c>
      <c r="J83" s="6">
        <v>85</v>
      </c>
      <c r="K83" s="6">
        <f>234-J83</f>
        <v>149</v>
      </c>
      <c r="L83" s="6">
        <f>267-K83-J83</f>
        <v>33</v>
      </c>
      <c r="M83" s="6">
        <f>315-L83-K83-J83</f>
        <v>48</v>
      </c>
      <c r="N83" s="6">
        <v>65</v>
      </c>
      <c r="O83" s="2">
        <f>1028-N83</f>
        <v>963</v>
      </c>
      <c r="P83" s="2">
        <f>1294-O83-N83</f>
        <v>266</v>
      </c>
      <c r="Q83" s="2">
        <f>2005-P83-O83-N83</f>
        <v>711</v>
      </c>
      <c r="R83" s="2">
        <v>878</v>
      </c>
      <c r="S83" s="2">
        <f>2256-R83</f>
        <v>1378</v>
      </c>
      <c r="T83" s="2">
        <f>2989-S83-R83</f>
        <v>733</v>
      </c>
    </row>
    <row r="84" spans="2:60" x14ac:dyDescent="0.25">
      <c r="B84" t="s">
        <v>44</v>
      </c>
      <c r="J84" s="6">
        <v>-22</v>
      </c>
      <c r="K84" s="6">
        <f>-24-J84</f>
        <v>-2</v>
      </c>
      <c r="L84" s="6">
        <f>-35-K84-J84</f>
        <v>-11</v>
      </c>
      <c r="M84" s="6">
        <f>-33-L84-K84-J84</f>
        <v>2</v>
      </c>
      <c r="N84" s="6">
        <v>-58</v>
      </c>
      <c r="O84" s="2">
        <f>-125-N84</f>
        <v>-67</v>
      </c>
      <c r="P84" s="2">
        <f>-30-O84-N84</f>
        <v>95</v>
      </c>
      <c r="Q84" s="2">
        <f>-43-P84-O84-N84</f>
        <v>-13</v>
      </c>
      <c r="R84" s="2">
        <v>-96</v>
      </c>
      <c r="S84" s="2">
        <f>-180-R84</f>
        <v>-84</v>
      </c>
      <c r="T84" s="2">
        <f>-236-S84-R84</f>
        <v>-56</v>
      </c>
    </row>
    <row r="85" spans="2:60" x14ac:dyDescent="0.25">
      <c r="B85" t="s">
        <v>41</v>
      </c>
      <c r="J85" s="6">
        <f>SUM(J81:J84)</f>
        <v>-1558</v>
      </c>
      <c r="K85" s="6">
        <f>SUM(K81:K84)</f>
        <v>-1151</v>
      </c>
      <c r="L85" s="6">
        <f>SUM(L81:L84)</f>
        <v>-2002</v>
      </c>
      <c r="M85" s="6">
        <f t="shared" ref="M85:T85" si="88">SUM(M81:M84)</f>
        <v>-3598</v>
      </c>
      <c r="N85" s="6">
        <f t="shared" si="88"/>
        <v>-3148</v>
      </c>
      <c r="O85" s="6">
        <f t="shared" si="88"/>
        <v>-3152</v>
      </c>
      <c r="P85" s="6">
        <f t="shared" si="88"/>
        <v>-2589</v>
      </c>
      <c r="Q85" s="6">
        <f t="shared" si="88"/>
        <v>-5198</v>
      </c>
      <c r="R85" s="6">
        <f t="shared" si="88"/>
        <v>-4594</v>
      </c>
      <c r="S85" s="6">
        <f t="shared" si="88"/>
        <v>-5525</v>
      </c>
      <c r="T85" s="6">
        <f t="shared" si="88"/>
        <v>-9569</v>
      </c>
    </row>
    <row r="86" spans="2:60" x14ac:dyDescent="0.25">
      <c r="J86" s="6"/>
      <c r="K86" s="6"/>
      <c r="N86" s="6"/>
      <c r="O86" s="2"/>
      <c r="P86" s="2"/>
      <c r="Q86" s="2"/>
      <c r="R86" s="2"/>
    </row>
    <row r="87" spans="2:60" x14ac:dyDescent="0.25">
      <c r="B87" t="s">
        <v>46</v>
      </c>
      <c r="J87" s="6">
        <v>-129</v>
      </c>
      <c r="K87" s="6">
        <f>-256-J87</f>
        <v>-127</v>
      </c>
      <c r="L87" s="6">
        <f>-384-K87-J87</f>
        <v>-128</v>
      </c>
      <c r="M87" s="6">
        <f>-513-L87-K87-J87</f>
        <v>-129</v>
      </c>
      <c r="N87" s="6">
        <v>-131</v>
      </c>
      <c r="O87" s="2">
        <f>-261-N87</f>
        <v>-130</v>
      </c>
      <c r="P87" s="2">
        <f>-392-O87-N87</f>
        <v>-131</v>
      </c>
      <c r="Q87" s="2">
        <f>-522-P87-O87-N87</f>
        <v>-130</v>
      </c>
      <c r="R87" s="2">
        <v>-134</v>
      </c>
      <c r="S87" s="2">
        <f>-266-R87</f>
        <v>-132</v>
      </c>
      <c r="T87" s="2">
        <f>-437-S87-R87</f>
        <v>-171</v>
      </c>
    </row>
    <row r="88" spans="2:60" x14ac:dyDescent="0.25">
      <c r="B88" t="s">
        <v>45</v>
      </c>
      <c r="J88" s="6">
        <v>-56</v>
      </c>
      <c r="K88" s="6">
        <f>-82-J88</f>
        <v>-26</v>
      </c>
      <c r="L88" s="6">
        <f>-127-K88-J88</f>
        <v>-45</v>
      </c>
      <c r="M88" s="6">
        <f>-149-L88-K88-J88</f>
        <v>-22</v>
      </c>
      <c r="N88" s="6">
        <v>0</v>
      </c>
      <c r="O88" s="2">
        <v>0</v>
      </c>
      <c r="P88" s="2">
        <v>0</v>
      </c>
      <c r="Q88" s="2">
        <v>0</v>
      </c>
      <c r="R88" s="2">
        <v>0</v>
      </c>
      <c r="S88">
        <v>0</v>
      </c>
      <c r="T88">
        <v>0</v>
      </c>
    </row>
    <row r="89" spans="2:60" x14ac:dyDescent="0.25">
      <c r="B89" t="s">
        <v>4</v>
      </c>
      <c r="J89" s="6">
        <v>-53</v>
      </c>
      <c r="K89" s="6">
        <f>-1101-J89+999</f>
        <v>-49</v>
      </c>
      <c r="L89" s="6">
        <f>999-1816-K89-J89</f>
        <v>-715</v>
      </c>
      <c r="M89" s="6">
        <f>-1897+999-L89-K89-J89</f>
        <v>-81</v>
      </c>
      <c r="N89" s="6">
        <v>-84</v>
      </c>
      <c r="O89" s="2">
        <f>-2626-N89+2682</f>
        <v>140</v>
      </c>
      <c r="P89" s="2">
        <f>4430-3604-O89-N89</f>
        <v>770</v>
      </c>
      <c r="Q89" s="2">
        <f>-4619+4430-P89-O89-N89</f>
        <v>-1015</v>
      </c>
      <c r="R89" s="2">
        <v>-2943</v>
      </c>
      <c r="S89" s="2">
        <f>-4626-R89</f>
        <v>-1683</v>
      </c>
      <c r="T89" s="2">
        <f>-9380-S89-R89</f>
        <v>-4754</v>
      </c>
    </row>
    <row r="90" spans="2:60" x14ac:dyDescent="0.25">
      <c r="B90" t="s">
        <v>180</v>
      </c>
      <c r="J90" s="6">
        <v>0</v>
      </c>
      <c r="K90" s="6">
        <v>0</v>
      </c>
      <c r="L90" s="6">
        <v>0</v>
      </c>
      <c r="M90" s="6">
        <f>-300-L90-K90-J90</f>
        <v>-300</v>
      </c>
      <c r="N90" s="6">
        <v>0</v>
      </c>
      <c r="O90" s="2">
        <v>0</v>
      </c>
      <c r="P90" s="2">
        <v>0</v>
      </c>
      <c r="Q90" s="2">
        <v>0</v>
      </c>
      <c r="R90" s="2">
        <f>-300-367</f>
        <v>-667</v>
      </c>
      <c r="S90" s="2">
        <f>-650-545-R90</f>
        <v>-528</v>
      </c>
      <c r="T90" s="2">
        <f>-762-650-S90-R90</f>
        <v>-217</v>
      </c>
    </row>
    <row r="91" spans="2:60" x14ac:dyDescent="0.25">
      <c r="B91" t="s">
        <v>44</v>
      </c>
      <c r="J91" s="6">
        <v>-114</v>
      </c>
      <c r="K91" s="6">
        <f>-18-J91</f>
        <v>96</v>
      </c>
      <c r="L91" s="6">
        <f>-40-K91-J91</f>
        <v>-22</v>
      </c>
      <c r="M91" s="6">
        <f>18-L91-K91-J91</f>
        <v>58</v>
      </c>
      <c r="N91" s="6">
        <v>-207</v>
      </c>
      <c r="O91" s="2">
        <f>-121-N91</f>
        <v>86</v>
      </c>
      <c r="P91" s="2">
        <f>-220-O91-N91</f>
        <v>-99</v>
      </c>
      <c r="Q91" s="2">
        <f>-139-P91-O91-N91</f>
        <v>81</v>
      </c>
      <c r="R91" s="2">
        <v>-1</v>
      </c>
      <c r="S91" s="2">
        <f>175-R91</f>
        <v>176</v>
      </c>
      <c r="T91" s="2">
        <f>583-S91-R91</f>
        <v>408</v>
      </c>
    </row>
    <row r="92" spans="2:60" x14ac:dyDescent="0.25">
      <c r="B92" t="s">
        <v>49</v>
      </c>
      <c r="J92" s="6">
        <f>SUM(J87:J91)</f>
        <v>-352</v>
      </c>
      <c r="K92" s="6">
        <f>SUM(K87:K91)</f>
        <v>-106</v>
      </c>
      <c r="L92" s="6">
        <f>SUM(L87:L91)</f>
        <v>-910</v>
      </c>
      <c r="M92" s="6">
        <f t="shared" ref="M92:T92" si="89">SUM(M87:M91)</f>
        <v>-474</v>
      </c>
      <c r="N92" s="6">
        <f t="shared" si="89"/>
        <v>-422</v>
      </c>
      <c r="O92" s="6">
        <f t="shared" si="89"/>
        <v>96</v>
      </c>
      <c r="P92" s="6">
        <f t="shared" si="89"/>
        <v>540</v>
      </c>
      <c r="Q92" s="6">
        <f t="shared" si="89"/>
        <v>-1064</v>
      </c>
      <c r="R92" s="6">
        <f t="shared" si="89"/>
        <v>-3745</v>
      </c>
      <c r="S92" s="6">
        <f t="shared" si="89"/>
        <v>-2167</v>
      </c>
      <c r="T92" s="6">
        <f t="shared" si="89"/>
        <v>-4734</v>
      </c>
    </row>
    <row r="93" spans="2:60" x14ac:dyDescent="0.25">
      <c r="B93" t="s">
        <v>48</v>
      </c>
      <c r="J93" s="6">
        <v>-1</v>
      </c>
      <c r="K93" s="6">
        <f>-8-J93</f>
        <v>-7</v>
      </c>
      <c r="L93" s="6">
        <f>-15-K93-J93</f>
        <v>-7</v>
      </c>
      <c r="M93" s="6">
        <f>40-L93-K93-J93</f>
        <v>55</v>
      </c>
      <c r="N93" s="3">
        <v>-29</v>
      </c>
      <c r="O93">
        <f>-49-N93</f>
        <v>-20</v>
      </c>
      <c r="P93">
        <f>-3-O93-N93</f>
        <v>46</v>
      </c>
      <c r="Q93">
        <f>6-P93-O93-N93</f>
        <v>9</v>
      </c>
      <c r="R93" s="2">
        <v>14</v>
      </c>
      <c r="S93" s="2">
        <f>5-R93</f>
        <v>-9</v>
      </c>
      <c r="T93" s="2">
        <f>8-S93-R93</f>
        <v>3</v>
      </c>
    </row>
    <row r="94" spans="2:60" x14ac:dyDescent="0.25">
      <c r="B94" t="s">
        <v>47</v>
      </c>
      <c r="J94" s="6">
        <f>J93+J92+J85+J79</f>
        <v>-510</v>
      </c>
      <c r="K94" s="6">
        <f>K93+K92+K85+K79</f>
        <v>-45</v>
      </c>
      <c r="L94" s="6">
        <f>L93+L92+L85+L79</f>
        <v>-437</v>
      </c>
      <c r="M94" s="6">
        <f t="shared" ref="M94:T94" si="90">M93+M92+M85+M79</f>
        <v>-612</v>
      </c>
      <c r="N94" s="6">
        <f t="shared" si="90"/>
        <v>-355</v>
      </c>
      <c r="O94" s="6">
        <f t="shared" si="90"/>
        <v>866</v>
      </c>
      <c r="P94" s="6">
        <f t="shared" si="90"/>
        <v>2606</v>
      </c>
      <c r="Q94" s="6">
        <f t="shared" si="90"/>
        <v>-523</v>
      </c>
      <c r="R94" s="6">
        <f t="shared" si="90"/>
        <v>86</v>
      </c>
      <c r="S94" s="6">
        <f t="shared" si="90"/>
        <v>4202</v>
      </c>
      <c r="T94" s="6">
        <f t="shared" si="90"/>
        <v>11088</v>
      </c>
    </row>
    <row r="96" spans="2:60" ht="13" x14ac:dyDescent="0.3">
      <c r="B96" t="s">
        <v>50</v>
      </c>
      <c r="J96" s="6">
        <f>+J79+J81</f>
        <v>-395</v>
      </c>
      <c r="K96" s="6">
        <f>+K79+K81</f>
        <v>-165</v>
      </c>
      <c r="L96" s="6">
        <f>+L79+L81</f>
        <v>396</v>
      </c>
      <c r="M96" s="6">
        <f t="shared" ref="M96:Q96" si="91">+M79+M81</f>
        <v>285</v>
      </c>
      <c r="N96" s="6">
        <f t="shared" si="91"/>
        <v>38</v>
      </c>
      <c r="O96" s="6">
        <f t="shared" si="91"/>
        <v>-113</v>
      </c>
      <c r="P96" s="6">
        <f t="shared" si="91"/>
        <v>1671</v>
      </c>
      <c r="Q96" s="6">
        <f t="shared" si="91"/>
        <v>72</v>
      </c>
      <c r="R96" s="6">
        <f>+R79+R81</f>
        <v>3022</v>
      </c>
      <c r="S96" s="6">
        <f>+S79+S81</f>
        <v>5516</v>
      </c>
      <c r="T96" s="6">
        <f>+T79+T81</f>
        <v>17562</v>
      </c>
      <c r="U96" s="6"/>
      <c r="AN96" s="9">
        <f>+AN79+AN81</f>
        <v>2958</v>
      </c>
      <c r="AO96" s="9">
        <f t="shared" ref="AO96:AT96" si="92">+AO79+AO81</f>
        <v>3086</v>
      </c>
      <c r="AP96" s="9">
        <f t="shared" si="92"/>
        <v>654</v>
      </c>
      <c r="AQ96" s="9">
        <f t="shared" si="92"/>
        <v>-2666</v>
      </c>
      <c r="AR96" s="9">
        <f t="shared" si="92"/>
        <v>-1511</v>
      </c>
      <c r="AS96" s="9">
        <f t="shared" si="92"/>
        <v>718</v>
      </c>
      <c r="AT96" s="9">
        <f t="shared" si="92"/>
        <v>2480</v>
      </c>
      <c r="AU96" s="9">
        <f t="shared" ref="AU96:BD96" si="93">+AU79+AU81</f>
        <v>-66</v>
      </c>
      <c r="AV96" s="9">
        <f t="shared" si="93"/>
        <v>415</v>
      </c>
      <c r="AW96" s="9">
        <f t="shared" si="93"/>
        <v>369</v>
      </c>
      <c r="AX96" s="9">
        <f t="shared" si="93"/>
        <v>2592</v>
      </c>
      <c r="AY96" s="9">
        <f t="shared" si="93"/>
        <v>1187</v>
      </c>
      <c r="AZ96" s="9">
        <f t="shared" si="93"/>
        <v>-2649</v>
      </c>
      <c r="BA96" s="9">
        <f t="shared" si="93"/>
        <v>3419</v>
      </c>
      <c r="BB96" s="9">
        <f t="shared" si="93"/>
        <v>8521</v>
      </c>
      <c r="BC96" s="9">
        <f t="shared" si="93"/>
        <v>3409</v>
      </c>
      <c r="BD96" s="9">
        <f t="shared" si="93"/>
        <v>83</v>
      </c>
      <c r="BE96" s="9">
        <f>+BE79+BE81</f>
        <v>2438</v>
      </c>
      <c r="BF96" s="9">
        <f>+BF79+BF81</f>
        <v>3114</v>
      </c>
      <c r="BG96" s="9">
        <f>+BG79+BG81</f>
        <v>-6117</v>
      </c>
      <c r="BH96" s="9">
        <f>SUM(J96:L96)</f>
        <v>-164</v>
      </c>
    </row>
    <row r="97" spans="2:60" x14ac:dyDescent="0.25">
      <c r="B97" t="s">
        <v>110</v>
      </c>
      <c r="AQ97" s="2">
        <f t="shared" ref="AQ97" si="94">+AQ96+AP96</f>
        <v>-2012</v>
      </c>
      <c r="AR97" s="2">
        <f t="shared" ref="AR97" si="95">+AR96+AQ96</f>
        <v>-4177</v>
      </c>
      <c r="AS97" s="2">
        <f t="shared" ref="AS97" si="96">+AS96+AR96</f>
        <v>-793</v>
      </c>
      <c r="AT97" s="2">
        <f t="shared" ref="AT97" si="97">+AT96+AS96</f>
        <v>3198</v>
      </c>
      <c r="AU97" s="2">
        <f t="shared" ref="AU97" si="98">+AU96+AT96</f>
        <v>2414</v>
      </c>
      <c r="AV97" s="2">
        <f t="shared" ref="AV97:AZ97" si="99">+AV96+AU96</f>
        <v>349</v>
      </c>
      <c r="AW97" s="2">
        <f t="shared" si="99"/>
        <v>784</v>
      </c>
      <c r="AX97" s="2">
        <f t="shared" si="99"/>
        <v>2961</v>
      </c>
      <c r="AY97" s="2">
        <f t="shared" si="99"/>
        <v>3779</v>
      </c>
      <c r="AZ97" s="2">
        <f t="shared" si="99"/>
        <v>-1462</v>
      </c>
      <c r="BA97" s="2">
        <f t="shared" ref="BA97:BH97" si="100">+BA96+AZ96</f>
        <v>770</v>
      </c>
      <c r="BB97" s="2">
        <f t="shared" si="100"/>
        <v>11940</v>
      </c>
      <c r="BC97" s="2">
        <f t="shared" si="100"/>
        <v>11930</v>
      </c>
      <c r="BD97" s="2">
        <f t="shared" si="100"/>
        <v>3492</v>
      </c>
      <c r="BE97" s="2">
        <f t="shared" si="100"/>
        <v>2521</v>
      </c>
      <c r="BF97" s="2">
        <f t="shared" si="100"/>
        <v>5552</v>
      </c>
      <c r="BG97" s="2">
        <f t="shared" si="100"/>
        <v>-3003</v>
      </c>
      <c r="BH97" s="2">
        <f t="shared" si="100"/>
        <v>-6281</v>
      </c>
    </row>
    <row r="98" spans="2:60" x14ac:dyDescent="0.25">
      <c r="B98" t="s">
        <v>111</v>
      </c>
      <c r="AR98" s="2">
        <f t="shared" ref="AR98" si="101">SUM(AP96:AR96)</f>
        <v>-3523</v>
      </c>
      <c r="AS98" s="2">
        <f>SUM(AQ96:AS96)</f>
        <v>-3459</v>
      </c>
      <c r="AT98" s="2">
        <f t="shared" ref="AT98" si="102">SUM(AR96:AT96)</f>
        <v>1687</v>
      </c>
      <c r="AU98" s="2">
        <f t="shared" ref="AU98" si="103">SUM(AS96:AU96)</f>
        <v>3132</v>
      </c>
      <c r="AV98" s="2">
        <f t="shared" ref="AV98" si="104">SUM(AT96:AV96)</f>
        <v>2829</v>
      </c>
      <c r="AW98" s="2">
        <f t="shared" ref="AW98:BA98" si="105">SUM(AU96:AW96)</f>
        <v>718</v>
      </c>
      <c r="AX98" s="2">
        <f t="shared" si="105"/>
        <v>3376</v>
      </c>
      <c r="AY98" s="2">
        <f t="shared" si="105"/>
        <v>4148</v>
      </c>
      <c r="AZ98" s="2">
        <f t="shared" si="105"/>
        <v>1130</v>
      </c>
      <c r="BA98" s="2">
        <f t="shared" si="105"/>
        <v>1957</v>
      </c>
      <c r="BB98" s="2">
        <f t="shared" ref="BB98:BH98" si="106">SUM(AZ96:BB96)</f>
        <v>9291</v>
      </c>
      <c r="BC98" s="2">
        <f t="shared" si="106"/>
        <v>15349</v>
      </c>
      <c r="BD98" s="2">
        <f t="shared" si="106"/>
        <v>12013</v>
      </c>
      <c r="BE98" s="2">
        <f t="shared" si="106"/>
        <v>5930</v>
      </c>
      <c r="BF98" s="2">
        <f t="shared" si="106"/>
        <v>5635</v>
      </c>
      <c r="BG98" s="2">
        <f t="shared" si="106"/>
        <v>-565</v>
      </c>
      <c r="BH98" s="2">
        <f t="shared" si="106"/>
        <v>-3167</v>
      </c>
    </row>
    <row r="99" spans="2:60" x14ac:dyDescent="0.25">
      <c r="B99" t="s">
        <v>112</v>
      </c>
      <c r="AS99" s="2">
        <f t="shared" ref="AS99" si="107">SUM(AP96:AS96)</f>
        <v>-2805</v>
      </c>
      <c r="AT99" s="2">
        <f t="shared" ref="AT99" si="108">SUM(AQ96:AT96)</f>
        <v>-979</v>
      </c>
      <c r="AU99" s="2">
        <f t="shared" ref="AU99" si="109">SUM(AR96:AU96)</f>
        <v>1621</v>
      </c>
      <c r="AV99" s="2">
        <f t="shared" ref="AV99" si="110">SUM(AS96:AV96)</f>
        <v>3547</v>
      </c>
      <c r="AW99" s="2">
        <f t="shared" ref="AW99" si="111">SUM(AT96:AW96)</f>
        <v>3198</v>
      </c>
      <c r="AX99" s="2">
        <f t="shared" ref="AX99:BB99" si="112">SUM(AU96:AX96)</f>
        <v>3310</v>
      </c>
      <c r="AY99" s="2">
        <f t="shared" si="112"/>
        <v>4563</v>
      </c>
      <c r="AZ99" s="2">
        <f t="shared" si="112"/>
        <v>1499</v>
      </c>
      <c r="BA99" s="2">
        <f t="shared" si="112"/>
        <v>4549</v>
      </c>
      <c r="BB99" s="2">
        <f t="shared" si="112"/>
        <v>10478</v>
      </c>
      <c r="BC99" s="2">
        <f t="shared" ref="BC99:BH99" si="113">SUM(AZ96:BC96)</f>
        <v>12700</v>
      </c>
      <c r="BD99" s="2">
        <f t="shared" si="113"/>
        <v>15432</v>
      </c>
      <c r="BE99" s="2">
        <f t="shared" si="113"/>
        <v>14451</v>
      </c>
      <c r="BF99" s="2">
        <f t="shared" si="113"/>
        <v>9044</v>
      </c>
      <c r="BG99" s="2">
        <f t="shared" si="113"/>
        <v>-482</v>
      </c>
      <c r="BH99" s="2">
        <f t="shared" si="113"/>
        <v>-729</v>
      </c>
    </row>
    <row r="100" spans="2:60" x14ac:dyDescent="0.25">
      <c r="B100" t="s">
        <v>113</v>
      </c>
      <c r="AT100" s="2">
        <f t="shared" ref="AT100" si="114">SUM(AP96:AT96)</f>
        <v>-325</v>
      </c>
      <c r="AU100" s="2">
        <f t="shared" ref="AU100" si="115">SUM(AQ96:AU96)</f>
        <v>-1045</v>
      </c>
      <c r="AV100" s="2">
        <f t="shared" ref="AV100" si="116">SUM(AR96:AV96)</f>
        <v>2036</v>
      </c>
      <c r="AW100" s="2">
        <f t="shared" ref="AW100" si="117">SUM(AS96:AW96)</f>
        <v>3916</v>
      </c>
      <c r="AX100" s="2">
        <f t="shared" ref="AX100" si="118">SUM(AT96:AX96)</f>
        <v>5790</v>
      </c>
      <c r="AY100" s="2">
        <f t="shared" ref="AY100:BC100" si="119">SUM(AU96:AY96)</f>
        <v>4497</v>
      </c>
      <c r="AZ100" s="2">
        <f t="shared" si="119"/>
        <v>1914</v>
      </c>
      <c r="BA100" s="2">
        <f t="shared" si="119"/>
        <v>4918</v>
      </c>
      <c r="BB100" s="2">
        <f t="shared" si="119"/>
        <v>13070</v>
      </c>
      <c r="BC100" s="2">
        <f t="shared" si="119"/>
        <v>13887</v>
      </c>
      <c r="BD100" s="2">
        <f>SUM(AZ96:BD96)</f>
        <v>12783</v>
      </c>
      <c r="BE100" s="2">
        <f>SUM(BA96:BE96)</f>
        <v>17870</v>
      </c>
      <c r="BF100" s="2">
        <f>SUM(BB96:BF96)</f>
        <v>17565</v>
      </c>
      <c r="BG100" s="2">
        <f>SUM(BC96:BG96)</f>
        <v>2927</v>
      </c>
      <c r="BH100" s="2">
        <f>SUM(BD96:BH96)</f>
        <v>-646</v>
      </c>
    </row>
    <row r="101" spans="2:60" x14ac:dyDescent="0.25">
      <c r="B101" t="s">
        <v>114</v>
      </c>
      <c r="AU101" s="2">
        <f t="shared" ref="AU101" si="120">SUM(AP96:AU96)</f>
        <v>-391</v>
      </c>
      <c r="AV101" s="2">
        <f t="shared" ref="AV101" si="121">SUM(AQ96:AV96)</f>
        <v>-630</v>
      </c>
      <c r="AW101" s="2">
        <f t="shared" ref="AW101" si="122">SUM(AR96:AW96)</f>
        <v>2405</v>
      </c>
      <c r="AX101" s="2">
        <f t="shared" ref="AX101" si="123">SUM(AS96:AX96)</f>
        <v>6508</v>
      </c>
      <c r="AY101" s="2">
        <f t="shared" ref="AY101" si="124">SUM(AT96:AY96)</f>
        <v>6977</v>
      </c>
      <c r="AZ101" s="2">
        <f t="shared" ref="AZ101:BD101" si="125">SUM(AU96:AZ96)</f>
        <v>1848</v>
      </c>
      <c r="BA101" s="2">
        <f t="shared" si="125"/>
        <v>5333</v>
      </c>
      <c r="BB101" s="2">
        <f t="shared" si="125"/>
        <v>13439</v>
      </c>
      <c r="BC101" s="2">
        <f t="shared" si="125"/>
        <v>16479</v>
      </c>
      <c r="BD101" s="2">
        <f t="shared" si="125"/>
        <v>13970</v>
      </c>
      <c r="BE101" s="2">
        <f>SUM(AZ96:BE96)</f>
        <v>15221</v>
      </c>
      <c r="BF101" s="2">
        <f>SUM(BA96:BF96)</f>
        <v>20984</v>
      </c>
      <c r="BG101" s="2">
        <f>SUM(BB96:BG96)</f>
        <v>11448</v>
      </c>
      <c r="BH101" s="2">
        <f>SUM(BC96:BH96)</f>
        <v>2763</v>
      </c>
    </row>
    <row r="102" spans="2:60" x14ac:dyDescent="0.25">
      <c r="B102" t="s">
        <v>116</v>
      </c>
      <c r="AV102" s="2">
        <f t="shared" ref="AV102" si="126">SUM(AP96:AV96)</f>
        <v>24</v>
      </c>
      <c r="AW102" s="2">
        <f t="shared" ref="AW102" si="127">SUM(AQ96:AW96)</f>
        <v>-261</v>
      </c>
      <c r="AX102" s="2">
        <f t="shared" ref="AX102" si="128">SUM(AR96:AX96)</f>
        <v>4997</v>
      </c>
      <c r="AY102" s="2">
        <f t="shared" ref="AY102" si="129">SUM(AS96:AY96)</f>
        <v>7695</v>
      </c>
      <c r="AZ102" s="2">
        <f t="shared" ref="AZ102" si="130">SUM(AT96:AZ96)</f>
        <v>4328</v>
      </c>
      <c r="BA102" s="2">
        <f t="shared" ref="BA102:BE102" si="131">SUM(AU96:BA96)</f>
        <v>5267</v>
      </c>
      <c r="BB102" s="2">
        <f t="shared" si="131"/>
        <v>13854</v>
      </c>
      <c r="BC102" s="2">
        <f t="shared" si="131"/>
        <v>16848</v>
      </c>
      <c r="BD102" s="2">
        <f t="shared" si="131"/>
        <v>16562</v>
      </c>
      <c r="BE102" s="2">
        <f t="shared" si="131"/>
        <v>16408</v>
      </c>
      <c r="BF102" s="2">
        <f>SUM(AZ96:BF96)</f>
        <v>18335</v>
      </c>
      <c r="BG102" s="2">
        <f>SUM(BA96:BG96)</f>
        <v>14867</v>
      </c>
      <c r="BH102" s="2">
        <f>SUM(BB96:BH96)</f>
        <v>11284</v>
      </c>
    </row>
    <row r="105" spans="2:60" ht="13" x14ac:dyDescent="0.3">
      <c r="B105" t="s">
        <v>218</v>
      </c>
      <c r="AA105" s="20">
        <v>1.4125000000000001</v>
      </c>
      <c r="AB105" s="1">
        <v>1.8875</v>
      </c>
      <c r="AC105" s="1">
        <v>4.6500000000000004</v>
      </c>
      <c r="AD105" s="1">
        <v>11.0313</v>
      </c>
      <c r="AE105" s="1">
        <v>19.809999999999999</v>
      </c>
      <c r="AF105" s="1">
        <v>14.56</v>
      </c>
      <c r="AG105">
        <v>12.97</v>
      </c>
      <c r="AH105">
        <v>25.28</v>
      </c>
      <c r="AI105" s="18">
        <v>39.06</v>
      </c>
      <c r="AJ105" s="20">
        <v>35.5</v>
      </c>
      <c r="AK105" s="20">
        <v>31</v>
      </c>
      <c r="AL105" s="20">
        <v>9.74</v>
      </c>
      <c r="AM105" s="18">
        <v>13.47</v>
      </c>
      <c r="AN105" s="18">
        <v>12.35</v>
      </c>
      <c r="AO105" s="18">
        <v>13.31</v>
      </c>
      <c r="AP105" s="18">
        <v>13.96</v>
      </c>
      <c r="AQ105" s="18">
        <v>7.25</v>
      </c>
      <c r="AR105" s="18">
        <v>2.64</v>
      </c>
      <c r="AS105">
        <v>10.56</v>
      </c>
      <c r="AT105">
        <v>8.02</v>
      </c>
      <c r="AU105">
        <v>6.29</v>
      </c>
      <c r="AV105">
        <v>6.34</v>
      </c>
      <c r="AW105">
        <v>21.75</v>
      </c>
      <c r="AX105">
        <v>35.01</v>
      </c>
      <c r="AY105">
        <v>14.16</v>
      </c>
      <c r="AZ105" s="3">
        <v>21.92</v>
      </c>
      <c r="BA105">
        <v>41.12</v>
      </c>
      <c r="BB105">
        <v>31.73</v>
      </c>
      <c r="BC105">
        <v>53.78</v>
      </c>
      <c r="BD105">
        <v>75.180000000000007</v>
      </c>
      <c r="BE105">
        <v>93.15</v>
      </c>
      <c r="BF105">
        <v>49.98</v>
      </c>
      <c r="BG105" s="1">
        <v>85.34</v>
      </c>
      <c r="BH105" s="1">
        <v>90</v>
      </c>
    </row>
    <row r="107" spans="2:60" x14ac:dyDescent="0.25">
      <c r="B107" t="s">
        <v>143</v>
      </c>
      <c r="AL107" s="2">
        <f>AL30/AL105</f>
        <v>265.81108829568785</v>
      </c>
      <c r="AM107" s="2">
        <f t="shared" ref="AM107:BH107" si="132">AM30/AM105</f>
        <v>229.47290274684482</v>
      </c>
      <c r="AN107" s="2">
        <f t="shared" si="132"/>
        <v>356.59919028340084</v>
      </c>
      <c r="AO107" s="2">
        <f t="shared" si="132"/>
        <v>366.64162283996995</v>
      </c>
      <c r="AP107" s="2">
        <f t="shared" si="132"/>
        <v>377.65042979942689</v>
      </c>
      <c r="AQ107" s="2">
        <f t="shared" si="132"/>
        <v>784.55172413793105</v>
      </c>
      <c r="AR107" s="2">
        <f t="shared" si="132"/>
        <v>2212.5</v>
      </c>
      <c r="AS107" s="2">
        <f t="shared" si="132"/>
        <v>454.82954545454544</v>
      </c>
      <c r="AT107" s="2">
        <f t="shared" si="132"/>
        <v>1057.6059850374065</v>
      </c>
      <c r="AU107" s="2">
        <f t="shared" si="132"/>
        <v>1397.1383147853735</v>
      </c>
      <c r="AV107" s="2">
        <f t="shared" si="132"/>
        <v>1298.7381703470032</v>
      </c>
      <c r="AW107" s="2">
        <f t="shared" si="132"/>
        <v>417.14942528735634</v>
      </c>
      <c r="AX107" s="2">
        <f t="shared" si="132"/>
        <v>467.23793201942306</v>
      </c>
      <c r="AY107" s="2">
        <f t="shared" si="132"/>
        <v>1143.5028248587571</v>
      </c>
      <c r="AZ107" s="2">
        <f t="shared" si="132"/>
        <v>565.64781021897807</v>
      </c>
      <c r="BA107" s="2">
        <f t="shared" si="132"/>
        <v>494.21206225680936</v>
      </c>
      <c r="BB107" s="2">
        <f t="shared" si="132"/>
        <v>957.80018909549324</v>
      </c>
      <c r="BC107" s="2">
        <f t="shared" si="132"/>
        <v>435.21755299367794</v>
      </c>
      <c r="BD107" s="2">
        <f t="shared" si="132"/>
        <v>285.11572226656023</v>
      </c>
      <c r="BE107" s="2">
        <f t="shared" si="132"/>
        <v>297.42351046698872</v>
      </c>
      <c r="BF107" s="2">
        <f t="shared" si="132"/>
        <v>615.40616246498598</v>
      </c>
      <c r="BG107" s="2">
        <f t="shared" si="132"/>
        <v>182.09514881649869</v>
      </c>
      <c r="BH107" s="2">
        <f t="shared" si="132"/>
        <v>279.01111111111112</v>
      </c>
    </row>
    <row r="108" spans="2:60" x14ac:dyDescent="0.25">
      <c r="AL108" s="2"/>
    </row>
    <row r="109" spans="2:60" ht="13" x14ac:dyDescent="0.3">
      <c r="B109" t="s">
        <v>219</v>
      </c>
      <c r="AJ109" s="18" t="s">
        <v>144</v>
      </c>
      <c r="AL109" s="20">
        <f>CORREL(AL105:BH105,AL30:BH30)</f>
        <v>0.75201470810792281</v>
      </c>
    </row>
    <row r="110" spans="2:60" ht="13" x14ac:dyDescent="0.3">
      <c r="AJ110" s="18" t="s">
        <v>145</v>
      </c>
      <c r="AL110" s="20">
        <f>CORREL(AN105:BH105,AN96:BH96)</f>
        <v>-7.7804094292837064E-2</v>
      </c>
    </row>
  </sheetData>
  <phoneticPr fontId="4" type="noConversion"/>
  <hyperlinks>
    <hyperlink ref="A1" location="Main!A1" display="Main" xr:uid="{8500311A-A2A0-4708-A1FC-B4D34FF7D086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2024-09-19T15:33:44Z</dcterms:created>
  <dcterms:modified xsi:type="dcterms:W3CDTF">2026-07-11T21:55:38Z</dcterms:modified>
</cp:coreProperties>
</file>